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scar\Documents\EstadistaGRUPO\"/>
    </mc:Choice>
  </mc:AlternateContent>
  <xr:revisionPtr revIDLastSave="0" documentId="13_ncr:1_{DF9424FB-CAC7-4F48-9749-0BABCE18F792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Valores_Datos completos_data" sheetId="1" r:id="rId1"/>
    <sheet name="Hoja1" sheetId="2" r:id="rId2"/>
    <sheet name="Datos transformados" sheetId="6" state="hidden" r:id="rId3"/>
  </sheets>
  <calcPr calcId="191029"/>
  <pivotCaches>
    <pivotCache cacheId="21" r:id="rId4"/>
    <pivotCache cacheId="24" r:id="rId5"/>
    <pivotCache cacheId="2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2" l="1"/>
  <c r="D38" i="2"/>
  <c r="E38" i="2"/>
  <c r="F38" i="2"/>
  <c r="G38" i="2"/>
  <c r="C39" i="2"/>
  <c r="D39" i="2"/>
  <c r="E39" i="2"/>
  <c r="F39" i="2"/>
  <c r="G39" i="2"/>
  <c r="C40" i="2"/>
  <c r="D40" i="2"/>
  <c r="E40" i="2"/>
  <c r="F40" i="2"/>
  <c r="G40" i="2"/>
  <c r="C41" i="2"/>
  <c r="D41" i="2"/>
  <c r="E41" i="2"/>
  <c r="F41" i="2"/>
  <c r="G41" i="2"/>
  <c r="C42" i="2"/>
  <c r="D42" i="2"/>
  <c r="E42" i="2"/>
  <c r="F42" i="2"/>
  <c r="G42" i="2"/>
  <c r="C43" i="2"/>
  <c r="D43" i="2"/>
  <c r="E43" i="2"/>
  <c r="F43" i="2"/>
  <c r="G43" i="2"/>
  <c r="C44" i="2"/>
  <c r="D44" i="2"/>
  <c r="E44" i="2"/>
  <c r="F44" i="2"/>
  <c r="G44" i="2"/>
  <c r="C45" i="2"/>
  <c r="D45" i="2"/>
  <c r="E45" i="2"/>
  <c r="F45" i="2"/>
  <c r="G45" i="2"/>
  <c r="C46" i="2"/>
  <c r="D46" i="2"/>
  <c r="E46" i="2"/>
  <c r="F46" i="2"/>
  <c r="G46" i="2"/>
  <c r="C47" i="2"/>
  <c r="D47" i="2"/>
  <c r="E47" i="2"/>
  <c r="F47" i="2"/>
  <c r="G47" i="2"/>
  <c r="B47" i="2"/>
  <c r="B46" i="2"/>
  <c r="B45" i="2"/>
  <c r="B44" i="2"/>
  <c r="B43" i="2"/>
  <c r="B42" i="2"/>
  <c r="B41" i="2"/>
  <c r="B40" i="2"/>
  <c r="B39" i="2"/>
  <c r="B38" i="2"/>
  <c r="B23" i="2"/>
  <c r="C23" i="2"/>
  <c r="D23" i="2"/>
  <c r="E23" i="2"/>
  <c r="F23" i="2"/>
  <c r="G23" i="2"/>
  <c r="B24" i="2"/>
  <c r="C24" i="2"/>
  <c r="D24" i="2"/>
  <c r="E24" i="2"/>
  <c r="F24" i="2"/>
  <c r="G24" i="2"/>
  <c r="B25" i="2"/>
  <c r="C25" i="2"/>
  <c r="D25" i="2"/>
  <c r="E25" i="2"/>
  <c r="F25" i="2"/>
  <c r="G25" i="2"/>
  <c r="B26" i="2"/>
  <c r="C26" i="2"/>
  <c r="D26" i="2"/>
  <c r="E26" i="2"/>
  <c r="F26" i="2"/>
  <c r="G26" i="2"/>
  <c r="B27" i="2"/>
  <c r="C27" i="2"/>
  <c r="D27" i="2"/>
  <c r="E27" i="2"/>
  <c r="F27" i="2"/>
  <c r="G27" i="2"/>
  <c r="B28" i="2"/>
  <c r="C28" i="2"/>
  <c r="D28" i="2"/>
  <c r="E28" i="2"/>
  <c r="F28" i="2"/>
  <c r="G28" i="2"/>
  <c r="B29" i="2"/>
  <c r="C29" i="2"/>
  <c r="D29" i="2"/>
  <c r="E29" i="2"/>
  <c r="F29" i="2"/>
  <c r="G29" i="2"/>
  <c r="B30" i="2"/>
  <c r="C30" i="2"/>
  <c r="D30" i="2"/>
  <c r="E30" i="2"/>
  <c r="F30" i="2"/>
  <c r="G30" i="2"/>
  <c r="B31" i="2"/>
  <c r="C31" i="2"/>
  <c r="D31" i="2"/>
  <c r="E31" i="2"/>
  <c r="F31" i="2"/>
  <c r="G31" i="2"/>
  <c r="B32" i="2"/>
  <c r="C32" i="2"/>
  <c r="D32" i="2"/>
  <c r="E32" i="2"/>
  <c r="F32" i="2"/>
  <c r="G32" i="2"/>
  <c r="C8" i="2"/>
  <c r="D8" i="2"/>
  <c r="E8" i="2"/>
  <c r="F8" i="2"/>
  <c r="G8" i="2"/>
  <c r="C9" i="2"/>
  <c r="D9" i="2"/>
  <c r="E9" i="2"/>
  <c r="F9" i="2"/>
  <c r="G9" i="2"/>
  <c r="C10" i="2"/>
  <c r="D10" i="2"/>
  <c r="E10" i="2"/>
  <c r="F10" i="2"/>
  <c r="G10" i="2"/>
  <c r="C11" i="2"/>
  <c r="D11" i="2"/>
  <c r="E11" i="2"/>
  <c r="F11" i="2"/>
  <c r="G11" i="2"/>
  <c r="C12" i="2"/>
  <c r="D12" i="2"/>
  <c r="E12" i="2"/>
  <c r="F12" i="2"/>
  <c r="G12" i="2"/>
  <c r="C13" i="2"/>
  <c r="D13" i="2"/>
  <c r="E13" i="2"/>
  <c r="F13" i="2"/>
  <c r="G13" i="2"/>
  <c r="C14" i="2"/>
  <c r="D14" i="2"/>
  <c r="E14" i="2"/>
  <c r="F14" i="2"/>
  <c r="G14" i="2"/>
  <c r="C15" i="2"/>
  <c r="D15" i="2"/>
  <c r="E15" i="2"/>
  <c r="F15" i="2"/>
  <c r="G15" i="2"/>
  <c r="C16" i="2"/>
  <c r="D16" i="2"/>
  <c r="E16" i="2"/>
  <c r="F16" i="2"/>
  <c r="G16" i="2"/>
  <c r="C17" i="2"/>
  <c r="D17" i="2"/>
  <c r="E17" i="2"/>
  <c r="F17" i="2"/>
  <c r="G17" i="2"/>
  <c r="B16" i="2"/>
  <c r="B14" i="2"/>
  <c r="B15" i="2"/>
  <c r="B13" i="2"/>
  <c r="B12" i="2"/>
  <c r="B17" i="2"/>
  <c r="B11" i="2"/>
  <c r="B10" i="2"/>
  <c r="B9" i="2"/>
  <c r="B8" i="2"/>
</calcChain>
</file>

<file path=xl/sharedStrings.xml><?xml version="1.0" encoding="utf-8"?>
<sst xmlns="http://schemas.openxmlformats.org/spreadsheetml/2006/main" count="268" uniqueCount="33">
  <si>
    <t>Código Provincia</t>
  </si>
  <si>
    <t>Provincia</t>
  </si>
  <si>
    <t>Año</t>
  </si>
  <si>
    <t>Composición Constante</t>
  </si>
  <si>
    <t>Composición Corriente</t>
  </si>
  <si>
    <t>Per Cápita Constante</t>
  </si>
  <si>
    <t>Per Cápita Corriente</t>
  </si>
  <si>
    <t>Valor Constante</t>
  </si>
  <si>
    <t>Valor Corriente</t>
  </si>
  <si>
    <t>Valores</t>
  </si>
  <si>
    <t>Variación Porcentual Constante</t>
  </si>
  <si>
    <t>Variación Porcentual Corriente</t>
  </si>
  <si>
    <t>Bocas del Toro</t>
  </si>
  <si>
    <t>Coclé</t>
  </si>
  <si>
    <t>Colón</t>
  </si>
  <si>
    <t>Chiriquí</t>
  </si>
  <si>
    <t>Darién</t>
  </si>
  <si>
    <t>Herrera</t>
  </si>
  <si>
    <t>Los Santos</t>
  </si>
  <si>
    <t>Panamá</t>
  </si>
  <si>
    <t>Veraguas</t>
  </si>
  <si>
    <t>Panamá Oeste</t>
  </si>
  <si>
    <t>Suma de Composición Corriente</t>
  </si>
  <si>
    <t>MEDIA</t>
  </si>
  <si>
    <t>Total general</t>
  </si>
  <si>
    <t>VARIANZA</t>
  </si>
  <si>
    <t>DESVIACIÓN ESTÁNDAR</t>
  </si>
  <si>
    <t>INFORMACIÓN IMPORTANTE</t>
  </si>
  <si>
    <t>Ha insertado una recomendación que utiliza una tabla dinámica.</t>
  </si>
  <si>
    <t>Las tablas dinámicas funcionan mejor cuando los datos están organizados en columnas y tienen una sola fila de encabezado, así que eso es lo que hemos hecho a continuación.</t>
  </si>
  <si>
    <t>Valores2</t>
  </si>
  <si>
    <t>Suma de Per Cápita Corriente</t>
  </si>
  <si>
    <t>Suma de Per Cápita Constante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</si>
</sst>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72C4"/>
      <name val="Calibri"/>
      <family val="2"/>
      <scheme val="minor"/>
    </font>
    <font>
      <sz val="11"/>
      <color rgb="FF333333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0" fillId="0" borderId="0" xfId="1" applyNumberFormat="1" applyFont="1"/>
    <xf numFmtId="0" fontId="0" fillId="0" borderId="10" xfId="0" applyBorder="1"/>
    <xf numFmtId="0" fontId="13" fillId="33" borderId="10" xfId="0" applyFont="1" applyFill="1" applyBorder="1"/>
    <xf numFmtId="0" fontId="0" fillId="34" borderId="10" xfId="0" applyFill="1" applyBorder="1"/>
    <xf numFmtId="0" fontId="18" fillId="0" borderId="0" xfId="0" applyFont="1"/>
    <xf numFmtId="0" fontId="19" fillId="0" borderId="0" xfId="0" applyFont="1"/>
    <xf numFmtId="0" fontId="0" fillId="0" borderId="0" xfId="0" applyNumberFormat="1"/>
    <xf numFmtId="0" fontId="0" fillId="35" borderId="11" xfId="0" applyFill="1" applyBorder="1" applyAlignment="1">
      <alignment horizontal="center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[PIB por provincia.xlsm]Hoja1!Tabla 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"Provincia": </a:t>
            </a:r>
            <a:r>
              <a:rPr lang="en-US">
                <a:solidFill>
                  <a:schemeClr val="accent1"/>
                </a:solidFill>
              </a:rPr>
              <a:t>Colón</a:t>
            </a:r>
            <a:r>
              <a:rPr lang="en-US"/>
              <a:t> y </a:t>
            </a:r>
            <a:r>
              <a:rPr lang="en-US">
                <a:solidFill>
                  <a:schemeClr val="accent1"/>
                </a:solidFill>
              </a:rPr>
              <a:t>Panamá</a:t>
            </a:r>
            <a:r>
              <a:rPr lang="en-US"/>
              <a:t> tienen valores de "Per Cápita Corriente" notablemente superiores.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2D2D2"/>
          </a:solidFill>
          <a:ln>
            <a:noFill/>
          </a:ln>
          <a:effectLst/>
        </c:spPr>
      </c:pivotFmt>
      <c:pivotFmt>
        <c:idx val="2"/>
        <c:spPr>
          <a:solidFill>
            <a:srgbClr val="ED7331"/>
          </a:solidFill>
          <a:ln>
            <a:noFill/>
          </a:ln>
          <a:effectLst/>
        </c:spPr>
      </c:pivotFmt>
      <c:pivotFmt>
        <c:idx val="3"/>
        <c:spPr>
          <a:solidFill>
            <a:srgbClr val="ED733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Hoja1!$B$87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Hoja1!$A$88:$A$98</c:f>
              <c:strCache>
                <c:ptCount val="10"/>
                <c:pt idx="0">
                  <c:v>Colón</c:v>
                </c:pt>
                <c:pt idx="1">
                  <c:v>Panamá</c:v>
                </c:pt>
                <c:pt idx="2">
                  <c:v>Herrera</c:v>
                </c:pt>
                <c:pt idx="3">
                  <c:v>Los Santos</c:v>
                </c:pt>
                <c:pt idx="4">
                  <c:v>Coclé</c:v>
                </c:pt>
                <c:pt idx="5">
                  <c:v>Panamá Oeste</c:v>
                </c:pt>
                <c:pt idx="6">
                  <c:v>Veraguas</c:v>
                </c:pt>
                <c:pt idx="7">
                  <c:v>Chiriquí</c:v>
                </c:pt>
                <c:pt idx="8">
                  <c:v>Bocas del Toro</c:v>
                </c:pt>
                <c:pt idx="9">
                  <c:v>Darién</c:v>
                </c:pt>
              </c:strCache>
            </c:strRef>
          </c:cat>
          <c:val>
            <c:numRef>
              <c:f>Hoja1!$B$88:$B$98</c:f>
              <c:numCache>
                <c:formatCode>General</c:formatCode>
                <c:ptCount val="10"/>
                <c:pt idx="0">
                  <c:v>190860.89585016202</c:v>
                </c:pt>
                <c:pt idx="1">
                  <c:v>167405.837694886</c:v>
                </c:pt>
                <c:pt idx="2">
                  <c:v>44574.525953889999</c:v>
                </c:pt>
                <c:pt idx="3">
                  <c:v>44175.437497614999</c:v>
                </c:pt>
                <c:pt idx="4">
                  <c:v>43668.044282841001</c:v>
                </c:pt>
                <c:pt idx="5">
                  <c:v>43555.835188833007</c:v>
                </c:pt>
                <c:pt idx="6">
                  <c:v>37635.087316769001</c:v>
                </c:pt>
                <c:pt idx="7">
                  <c:v>32722.134197629999</c:v>
                </c:pt>
                <c:pt idx="8">
                  <c:v>32064.970625016002</c:v>
                </c:pt>
                <c:pt idx="9">
                  <c:v>19883.994597736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1-4C0E-AF4D-30B3561E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2109421503"/>
        <c:axId val="2109420543"/>
      </c:barChart>
      <c:catAx>
        <c:axId val="2109421503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Provincia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109420543"/>
        <c:crosses val="autoZero"/>
        <c:auto val="1"/>
        <c:lblAlgn val="ctr"/>
        <c:lblOffset val="100"/>
        <c:noMultiLvlLbl val="0"/>
      </c:catAx>
      <c:valAx>
        <c:axId val="210942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Per Cápita Corriente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109421503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Campo: </a:t>
            </a:r>
            <a:r>
              <a:rPr lang="en-US">
                <a:solidFill>
                  <a:schemeClr val="accent1"/>
                </a:solidFill>
              </a:rPr>
              <a:t>Variación Porcentual Constante </a:t>
            </a:r>
            <a:r>
              <a:rPr lang="en-US"/>
              <a:t>y campo: </a:t>
            </a:r>
            <a:r>
              <a:rPr lang="en-US">
                <a:solidFill>
                  <a:schemeClr val="accent1"/>
                </a:solidFill>
              </a:rPr>
              <a:t>Variación Porcentual Corriente </a:t>
            </a:r>
            <a:r>
              <a:rPr lang="en-US"/>
              <a:t>parece estar muy correlacionado.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'Valores_Datos completos_data'!$L$1</c:f>
              <c:strCache>
                <c:ptCount val="1"/>
                <c:pt idx="0">
                  <c:v>Variación Porcentual Corriente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'Valores_Datos completos_data'!$K$2:$K$71</c:f>
              <c:numCache>
                <c:formatCode>General</c:formatCode>
                <c:ptCount val="70"/>
                <c:pt idx="0">
                  <c:v>5.1748825299999996</c:v>
                </c:pt>
                <c:pt idx="1">
                  <c:v>10.310179926</c:v>
                </c:pt>
                <c:pt idx="2">
                  <c:v>4.0079411900000004</c:v>
                </c:pt>
                <c:pt idx="3">
                  <c:v>5.1848952869999998</c:v>
                </c:pt>
                <c:pt idx="4">
                  <c:v>7.9050421829999999</c:v>
                </c:pt>
                <c:pt idx="5">
                  <c:v>2.5141151060000002</c:v>
                </c:pt>
                <c:pt idx="6">
                  <c:v>9.4455437339999992</c:v>
                </c:pt>
                <c:pt idx="7">
                  <c:v>7.5201690980000002</c:v>
                </c:pt>
                <c:pt idx="8">
                  <c:v>0.526123597</c:v>
                </c:pt>
                <c:pt idx="9">
                  <c:v>-1.010835062</c:v>
                </c:pt>
                <c:pt idx="10">
                  <c:v>3.2059825970000002</c:v>
                </c:pt>
                <c:pt idx="11">
                  <c:v>5.2892826739999999</c:v>
                </c:pt>
                <c:pt idx="12">
                  <c:v>5.5818463349999998</c:v>
                </c:pt>
                <c:pt idx="13">
                  <c:v>-13.441742316999999</c:v>
                </c:pt>
                <c:pt idx="14">
                  <c:v>-2.1674893609999999</c:v>
                </c:pt>
                <c:pt idx="15">
                  <c:v>24.984930613</c:v>
                </c:pt>
                <c:pt idx="16">
                  <c:v>28.220383517999998</c:v>
                </c:pt>
                <c:pt idx="17">
                  <c:v>23.431301883</c:v>
                </c:pt>
                <c:pt idx="18">
                  <c:v>7.2692499110000002</c:v>
                </c:pt>
                <c:pt idx="19">
                  <c:v>2.7212516280000001</c:v>
                </c:pt>
                <c:pt idx="20">
                  <c:v>-21.572620521000001</c:v>
                </c:pt>
                <c:pt idx="21">
                  <c:v>3.2096888190000001</c:v>
                </c:pt>
                <c:pt idx="22">
                  <c:v>11.282496118999999</c:v>
                </c:pt>
                <c:pt idx="23">
                  <c:v>4.5798732329999998</c:v>
                </c:pt>
                <c:pt idx="24">
                  <c:v>3.7711980110000001</c:v>
                </c:pt>
                <c:pt idx="25">
                  <c:v>4.7439234160000003</c:v>
                </c:pt>
                <c:pt idx="26">
                  <c:v>3.1455249649999999</c:v>
                </c:pt>
                <c:pt idx="27">
                  <c:v>-8.2263443009999992</c:v>
                </c:pt>
                <c:pt idx="28">
                  <c:v>-2.1090854870000002</c:v>
                </c:pt>
                <c:pt idx="29">
                  <c:v>-1.172919595</c:v>
                </c:pt>
                <c:pt idx="30">
                  <c:v>5.6103415950000004</c:v>
                </c:pt>
                <c:pt idx="31">
                  <c:v>5.4411346719999996</c:v>
                </c:pt>
                <c:pt idx="32">
                  <c:v>0.76885367900000001</c:v>
                </c:pt>
                <c:pt idx="33">
                  <c:v>8.7104520819999998</c:v>
                </c:pt>
                <c:pt idx="34">
                  <c:v>-2.8589270490000001</c:v>
                </c:pt>
                <c:pt idx="35">
                  <c:v>15.690497648999999</c:v>
                </c:pt>
                <c:pt idx="36">
                  <c:v>-3.6024356540000002</c:v>
                </c:pt>
                <c:pt idx="37">
                  <c:v>3.7836675419999999</c:v>
                </c:pt>
                <c:pt idx="38">
                  <c:v>4.8646084719999996</c:v>
                </c:pt>
                <c:pt idx="39">
                  <c:v>4.0436611779999998</c:v>
                </c:pt>
                <c:pt idx="40">
                  <c:v>3.421105319</c:v>
                </c:pt>
                <c:pt idx="41">
                  <c:v>-7.9145405750000002</c:v>
                </c:pt>
                <c:pt idx="42">
                  <c:v>7.981994491</c:v>
                </c:pt>
                <c:pt idx="43">
                  <c:v>0.68333236900000005</c:v>
                </c:pt>
                <c:pt idx="44">
                  <c:v>3.6728855519999999</c:v>
                </c:pt>
                <c:pt idx="45">
                  <c:v>6.5159519059999997</c:v>
                </c:pt>
                <c:pt idx="46">
                  <c:v>4.0764864799999998</c:v>
                </c:pt>
                <c:pt idx="47">
                  <c:v>3.3720533700000002</c:v>
                </c:pt>
                <c:pt idx="48">
                  <c:v>-10.336449903</c:v>
                </c:pt>
                <c:pt idx="49">
                  <c:v>6.3749548149999997</c:v>
                </c:pt>
                <c:pt idx="50">
                  <c:v>1.269481705</c:v>
                </c:pt>
                <c:pt idx="51">
                  <c:v>1.6594477430000001</c:v>
                </c:pt>
                <c:pt idx="52">
                  <c:v>2.64933255</c:v>
                </c:pt>
                <c:pt idx="53">
                  <c:v>3.0010307749999998</c:v>
                </c:pt>
                <c:pt idx="54">
                  <c:v>2.2200429430000002</c:v>
                </c:pt>
                <c:pt idx="55">
                  <c:v>-21.476466383999998</c:v>
                </c:pt>
                <c:pt idx="56">
                  <c:v>-6.5862923990000004</c:v>
                </c:pt>
                <c:pt idx="57">
                  <c:v>5.3537831450000004</c:v>
                </c:pt>
                <c:pt idx="58">
                  <c:v>3.8359646920000001</c:v>
                </c:pt>
                <c:pt idx="59">
                  <c:v>3.9547861040000001</c:v>
                </c:pt>
                <c:pt idx="60">
                  <c:v>3.923117264</c:v>
                </c:pt>
                <c:pt idx="61">
                  <c:v>6.6577250689999996</c:v>
                </c:pt>
                <c:pt idx="62">
                  <c:v>-8.2972740270000003</c:v>
                </c:pt>
                <c:pt idx="63">
                  <c:v>0</c:v>
                </c:pt>
                <c:pt idx="64">
                  <c:v>38.319374119000003</c:v>
                </c:pt>
                <c:pt idx="65">
                  <c:v>0.482299217</c:v>
                </c:pt>
                <c:pt idx="66">
                  <c:v>-1.77890288</c:v>
                </c:pt>
                <c:pt idx="67">
                  <c:v>-1.954975841</c:v>
                </c:pt>
                <c:pt idx="68">
                  <c:v>8.9464422349999992</c:v>
                </c:pt>
                <c:pt idx="69">
                  <c:v>-14.519482219</c:v>
                </c:pt>
              </c:numCache>
            </c:numRef>
          </c:xVal>
          <c:yVal>
            <c:numRef>
              <c:f>'Valores_Datos completos_data'!$L$2:$L$71</c:f>
              <c:numCache>
                <c:formatCode>General</c:formatCode>
                <c:ptCount val="70"/>
                <c:pt idx="0">
                  <c:v>3.703681628</c:v>
                </c:pt>
                <c:pt idx="1">
                  <c:v>9.3746226749999995</c:v>
                </c:pt>
                <c:pt idx="2">
                  <c:v>8.1160977709999997</c:v>
                </c:pt>
                <c:pt idx="3">
                  <c:v>5.768186354</c:v>
                </c:pt>
                <c:pt idx="4">
                  <c:v>7.7956038789999997</c:v>
                </c:pt>
                <c:pt idx="5">
                  <c:v>-8.5505652259999998</c:v>
                </c:pt>
                <c:pt idx="6">
                  <c:v>8.7752353779999996</c:v>
                </c:pt>
                <c:pt idx="7">
                  <c:v>12.925661746999999</c:v>
                </c:pt>
                <c:pt idx="8">
                  <c:v>3.227162034</c:v>
                </c:pt>
                <c:pt idx="9">
                  <c:v>5.2210139839999998</c:v>
                </c:pt>
                <c:pt idx="10">
                  <c:v>4.5045842069999997</c:v>
                </c:pt>
                <c:pt idx="11">
                  <c:v>4.4372987330000004</c:v>
                </c:pt>
                <c:pt idx="12">
                  <c:v>5.938309254</c:v>
                </c:pt>
                <c:pt idx="13">
                  <c:v>-13.757961216</c:v>
                </c:pt>
                <c:pt idx="14">
                  <c:v>0.57851609999999998</c:v>
                </c:pt>
                <c:pt idx="15">
                  <c:v>25.728133849999999</c:v>
                </c:pt>
                <c:pt idx="16">
                  <c:v>31.472192321000001</c:v>
                </c:pt>
                <c:pt idx="17">
                  <c:v>26.243713284999998</c:v>
                </c:pt>
                <c:pt idx="18">
                  <c:v>9.0908990589999998</c:v>
                </c:pt>
                <c:pt idx="19">
                  <c:v>2.9824811539999998</c:v>
                </c:pt>
                <c:pt idx="20">
                  <c:v>-22.19689485</c:v>
                </c:pt>
                <c:pt idx="21">
                  <c:v>4.9192961310000003</c:v>
                </c:pt>
                <c:pt idx="22">
                  <c:v>13.245857351</c:v>
                </c:pt>
                <c:pt idx="23">
                  <c:v>9.1136373899999992</c:v>
                </c:pt>
                <c:pt idx="24">
                  <c:v>5.2938801050000004</c:v>
                </c:pt>
                <c:pt idx="25">
                  <c:v>5.165449808</c:v>
                </c:pt>
                <c:pt idx="26">
                  <c:v>3.349813154</c:v>
                </c:pt>
                <c:pt idx="27">
                  <c:v>-8.3345627909999997</c:v>
                </c:pt>
                <c:pt idx="28">
                  <c:v>1.64380142</c:v>
                </c:pt>
                <c:pt idx="29">
                  <c:v>3.559607282</c:v>
                </c:pt>
                <c:pt idx="30">
                  <c:v>8.4473857900000002</c:v>
                </c:pt>
                <c:pt idx="31">
                  <c:v>6.7935295670000002</c:v>
                </c:pt>
                <c:pt idx="32">
                  <c:v>-0.90927172899999997</c:v>
                </c:pt>
                <c:pt idx="33">
                  <c:v>9.1985087829999994</c:v>
                </c:pt>
                <c:pt idx="34">
                  <c:v>-3.8391999499999998</c:v>
                </c:pt>
                <c:pt idx="35">
                  <c:v>19.643101901000001</c:v>
                </c:pt>
                <c:pt idx="36">
                  <c:v>-2.3461030780000001</c:v>
                </c:pt>
                <c:pt idx="37">
                  <c:v>1.5754302650000001</c:v>
                </c:pt>
                <c:pt idx="38">
                  <c:v>6.038466927</c:v>
                </c:pt>
                <c:pt idx="39">
                  <c:v>2.3867807879999998</c:v>
                </c:pt>
                <c:pt idx="40">
                  <c:v>3.5604027189999998</c:v>
                </c:pt>
                <c:pt idx="41">
                  <c:v>-8.9720179099999999</c:v>
                </c:pt>
                <c:pt idx="42">
                  <c:v>10.868189868</c:v>
                </c:pt>
                <c:pt idx="43">
                  <c:v>4.2656663359999998</c:v>
                </c:pt>
                <c:pt idx="44">
                  <c:v>11.833484568999999</c:v>
                </c:pt>
                <c:pt idx="45">
                  <c:v>7.0553752479999998</c:v>
                </c:pt>
                <c:pt idx="46">
                  <c:v>3.2918189010000001</c:v>
                </c:pt>
                <c:pt idx="47">
                  <c:v>3.915279714</c:v>
                </c:pt>
                <c:pt idx="48">
                  <c:v>-10.643649047</c:v>
                </c:pt>
                <c:pt idx="49">
                  <c:v>11.3</c:v>
                </c:pt>
                <c:pt idx="50">
                  <c:v>3.5073862440000001</c:v>
                </c:pt>
                <c:pt idx="51">
                  <c:v>2.9549895519999998</c:v>
                </c:pt>
                <c:pt idx="52">
                  <c:v>4.4362297890000004</c:v>
                </c:pt>
                <c:pt idx="53">
                  <c:v>3.662087944</c:v>
                </c:pt>
                <c:pt idx="54">
                  <c:v>2.5618137110000001</c:v>
                </c:pt>
                <c:pt idx="55">
                  <c:v>-21.730152703000002</c:v>
                </c:pt>
                <c:pt idx="56">
                  <c:v>-2.4527823120000001</c:v>
                </c:pt>
                <c:pt idx="57">
                  <c:v>7.4048988810000003</c:v>
                </c:pt>
                <c:pt idx="58">
                  <c:v>9.6256782600000008</c:v>
                </c:pt>
                <c:pt idx="59">
                  <c:v>5.1723083509999999</c:v>
                </c:pt>
                <c:pt idx="60">
                  <c:v>2.8641004259999998</c:v>
                </c:pt>
                <c:pt idx="61">
                  <c:v>6.9505033950000001</c:v>
                </c:pt>
                <c:pt idx="62">
                  <c:v>-8.9770587309999996</c:v>
                </c:pt>
                <c:pt idx="63">
                  <c:v>0</c:v>
                </c:pt>
                <c:pt idx="64">
                  <c:v>42.925676201000002</c:v>
                </c:pt>
                <c:pt idx="65">
                  <c:v>3.5965333340000001</c:v>
                </c:pt>
                <c:pt idx="66">
                  <c:v>-0.48845407200000002</c:v>
                </c:pt>
                <c:pt idx="67">
                  <c:v>-1.3666970359999999</c:v>
                </c:pt>
                <c:pt idx="68">
                  <c:v>9.5506801350000003</c:v>
                </c:pt>
                <c:pt idx="69">
                  <c:v>-13.453440930999999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40-4DB0-ACC6-1DD4FB4AD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94191"/>
        <c:axId val="493992751"/>
      </c:scatterChart>
      <c:valAx>
        <c:axId val="49399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Variación Porcentual Constante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93992751"/>
        <c:crosses val="autoZero"/>
        <c:crossBetween val="midCat"/>
      </c:valAx>
      <c:valAx>
        <c:axId val="49399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Variación Porcentual Corriente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93994191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1"/>
                </a:solidFill>
              </a:rPr>
              <a:t>Valor Corriente </a:t>
            </a:r>
            <a:r>
              <a:rPr lang="en-US"/>
              <a:t>y </a:t>
            </a:r>
            <a:r>
              <a:rPr lang="en-US">
                <a:solidFill>
                  <a:schemeClr val="accent1"/>
                </a:solidFill>
              </a:rPr>
              <a:t>Variación Porcentual </a:t>
            </a:r>
            <a:r>
              <a:rPr lang="en-US"/>
              <a:t>Constante parecen agruparse en 2 grupos.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'Valores_Datos completos_data'!$K$1</c:f>
              <c:strCache>
                <c:ptCount val="1"/>
                <c:pt idx="0">
                  <c:v>Variación Porcentual Constante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'Valores_Datos completos_data'!$I$2:$I$71</c:f>
              <c:numCache>
                <c:formatCode>General</c:formatCode>
                <c:ptCount val="70"/>
                <c:pt idx="0">
                  <c:v>630.29564300899995</c:v>
                </c:pt>
                <c:pt idx="1">
                  <c:v>689.38348127999996</c:v>
                </c:pt>
                <c:pt idx="2">
                  <c:v>745.33451863899995</c:v>
                </c:pt>
                <c:pt idx="3">
                  <c:v>788.32680263199995</c:v>
                </c:pt>
                <c:pt idx="4">
                  <c:v>849.78163744100004</c:v>
                </c:pt>
                <c:pt idx="5">
                  <c:v>777.12050425500001</c:v>
                </c:pt>
                <c:pt idx="6">
                  <c:v>845.314657678</c:v>
                </c:pt>
                <c:pt idx="7">
                  <c:v>1466.6679855340001</c:v>
                </c:pt>
                <c:pt idx="8">
                  <c:v>1513.9997379230001</c:v>
                </c:pt>
                <c:pt idx="9">
                  <c:v>1593.0458759559999</c:v>
                </c:pt>
                <c:pt idx="10">
                  <c:v>1664.8059689009999</c:v>
                </c:pt>
                <c:pt idx="11">
                  <c:v>1738.6783830649999</c:v>
                </c:pt>
                <c:pt idx="12">
                  <c:v>1841.926482392</c:v>
                </c:pt>
                <c:pt idx="13">
                  <c:v>1588.5149513209999</c:v>
                </c:pt>
                <c:pt idx="14">
                  <c:v>5088.0683249000003</c:v>
                </c:pt>
                <c:pt idx="15">
                  <c:v>6397.1333539329999</c:v>
                </c:pt>
                <c:pt idx="16">
                  <c:v>8410.4514660879995</c:v>
                </c:pt>
                <c:pt idx="17">
                  <c:v>10617.666234845001</c:v>
                </c:pt>
                <c:pt idx="18">
                  <c:v>11582.907554728999</c:v>
                </c:pt>
                <c:pt idx="19">
                  <c:v>11928.365589637</c:v>
                </c:pt>
                <c:pt idx="20">
                  <c:v>9280.6388223489994</c:v>
                </c:pt>
                <c:pt idx="21">
                  <c:v>2492.6567498149998</c:v>
                </c:pt>
                <c:pt idx="22">
                  <c:v>2822.8305071459999</c:v>
                </c:pt>
                <c:pt idx="23">
                  <c:v>3080.0930437010002</c:v>
                </c:pt>
                <c:pt idx="24">
                  <c:v>3243.1494765470002</c:v>
                </c:pt>
                <c:pt idx="25">
                  <c:v>3410.6727349470002</c:v>
                </c:pt>
                <c:pt idx="26">
                  <c:v>3524.9238988530001</c:v>
                </c:pt>
                <c:pt idx="27">
                  <c:v>3231.13690318</c:v>
                </c:pt>
                <c:pt idx="28">
                  <c:v>167.44716440900001</c:v>
                </c:pt>
                <c:pt idx="29">
                  <c:v>173.40762586599999</c:v>
                </c:pt>
                <c:pt idx="30">
                  <c:v>188.05603701300001</c:v>
                </c:pt>
                <c:pt idx="31">
                  <c:v>200.83167949099999</c:v>
                </c:pt>
                <c:pt idx="32">
                  <c:v>199.005573806</c:v>
                </c:pt>
                <c:pt idx="33">
                  <c:v>217.311118991</c:v>
                </c:pt>
                <c:pt idx="34">
                  <c:v>208.96811061899999</c:v>
                </c:pt>
                <c:pt idx="35">
                  <c:v>730.77494016900005</c:v>
                </c:pt>
                <c:pt idx="36">
                  <c:v>713.63020680499994</c:v>
                </c:pt>
                <c:pt idx="37">
                  <c:v>724.87295306299995</c:v>
                </c:pt>
                <c:pt idx="38">
                  <c:v>768.64416659599999</c:v>
                </c:pt>
                <c:pt idx="39">
                  <c:v>786.99001789600004</c:v>
                </c:pt>
                <c:pt idx="40">
                  <c:v>815.01003189000005</c:v>
                </c:pt>
                <c:pt idx="41">
                  <c:v>741.887185864</c:v>
                </c:pt>
                <c:pt idx="42">
                  <c:v>508.55289161299999</c:v>
                </c:pt>
                <c:pt idx="43">
                  <c:v>530.24606111000003</c:v>
                </c:pt>
                <c:pt idx="44">
                  <c:v>592.99264692700001</c:v>
                </c:pt>
                <c:pt idx="45">
                  <c:v>634.83050336300005</c:v>
                </c:pt>
                <c:pt idx="46">
                  <c:v>655.72797386000002</c:v>
                </c:pt>
                <c:pt idx="47">
                  <c:v>681.40155820099994</c:v>
                </c:pt>
                <c:pt idx="48">
                  <c:v>608.87556774200004</c:v>
                </c:pt>
                <c:pt idx="49">
                  <c:v>35170.549372310998</c:v>
                </c:pt>
                <c:pt idx="50">
                  <c:v>36404.116382900997</c:v>
                </c:pt>
                <c:pt idx="51">
                  <c:v>37479.854218455999</c:v>
                </c:pt>
                <c:pt idx="52">
                  <c:v>39142.546676277998</c:v>
                </c:pt>
                <c:pt idx="53">
                  <c:v>40575.981158930997</c:v>
                </c:pt>
                <c:pt idx="54">
                  <c:v>41615.462207522003</c:v>
                </c:pt>
                <c:pt idx="55">
                  <c:v>32572.358721567001</c:v>
                </c:pt>
                <c:pt idx="56">
                  <c:v>1107.3381867190001</c:v>
                </c:pt>
                <c:pt idx="57">
                  <c:v>1189.335459718</c:v>
                </c:pt>
                <c:pt idx="58">
                  <c:v>1303.817064503</c:v>
                </c:pt>
                <c:pt idx="59">
                  <c:v>1371.254503418</c:v>
                </c:pt>
                <c:pt idx="60">
                  <c:v>1410.5286094860001</c:v>
                </c:pt>
                <c:pt idx="61">
                  <c:v>1508.5674483729999</c:v>
                </c:pt>
                <c:pt idx="62">
                  <c:v>1373.1424625290001</c:v>
                </c:pt>
                <c:pt idx="63">
                  <c:v>2559.11310688</c:v>
                </c:pt>
                <c:pt idx="64">
                  <c:v>3657.6297127480002</c:v>
                </c:pt>
                <c:pt idx="65">
                  <c:v>3789.1775845930001</c:v>
                </c:pt>
                <c:pt idx="66">
                  <c:v>3770.6691923929998</c:v>
                </c:pt>
                <c:pt idx="67">
                  <c:v>3719.1355682950002</c:v>
                </c:pt>
                <c:pt idx="68">
                  <c:v>4074.3383102060002</c:v>
                </c:pt>
                <c:pt idx="69">
                  <c:v>3526.1996123220001</c:v>
                </c:pt>
              </c:numCache>
            </c:numRef>
          </c:xVal>
          <c:yVal>
            <c:numRef>
              <c:f>'Valores_Datos completos_data'!$K$2:$K$71</c:f>
              <c:numCache>
                <c:formatCode>General</c:formatCode>
                <c:ptCount val="70"/>
                <c:pt idx="0">
                  <c:v>5.1748825299999996</c:v>
                </c:pt>
                <c:pt idx="1">
                  <c:v>10.310179926</c:v>
                </c:pt>
                <c:pt idx="2">
                  <c:v>4.0079411900000004</c:v>
                </c:pt>
                <c:pt idx="3">
                  <c:v>5.1848952869999998</c:v>
                </c:pt>
                <c:pt idx="4">
                  <c:v>7.9050421829999999</c:v>
                </c:pt>
                <c:pt idx="5">
                  <c:v>2.5141151060000002</c:v>
                </c:pt>
                <c:pt idx="6">
                  <c:v>9.4455437339999992</c:v>
                </c:pt>
                <c:pt idx="7">
                  <c:v>7.5201690980000002</c:v>
                </c:pt>
                <c:pt idx="8">
                  <c:v>0.526123597</c:v>
                </c:pt>
                <c:pt idx="9">
                  <c:v>-1.010835062</c:v>
                </c:pt>
                <c:pt idx="10">
                  <c:v>3.2059825970000002</c:v>
                </c:pt>
                <c:pt idx="11">
                  <c:v>5.2892826739999999</c:v>
                </c:pt>
                <c:pt idx="12">
                  <c:v>5.5818463349999998</c:v>
                </c:pt>
                <c:pt idx="13">
                  <c:v>-13.441742316999999</c:v>
                </c:pt>
                <c:pt idx="14">
                  <c:v>-2.1674893609999999</c:v>
                </c:pt>
                <c:pt idx="15">
                  <c:v>24.984930613</c:v>
                </c:pt>
                <c:pt idx="16">
                  <c:v>28.220383517999998</c:v>
                </c:pt>
                <c:pt idx="17">
                  <c:v>23.431301883</c:v>
                </c:pt>
                <c:pt idx="18">
                  <c:v>7.2692499110000002</c:v>
                </c:pt>
                <c:pt idx="19">
                  <c:v>2.7212516280000001</c:v>
                </c:pt>
                <c:pt idx="20">
                  <c:v>-21.572620521000001</c:v>
                </c:pt>
                <c:pt idx="21">
                  <c:v>3.2096888190000001</c:v>
                </c:pt>
                <c:pt idx="22">
                  <c:v>11.282496118999999</c:v>
                </c:pt>
                <c:pt idx="23">
                  <c:v>4.5798732329999998</c:v>
                </c:pt>
                <c:pt idx="24">
                  <c:v>3.7711980110000001</c:v>
                </c:pt>
                <c:pt idx="25">
                  <c:v>4.7439234160000003</c:v>
                </c:pt>
                <c:pt idx="26">
                  <c:v>3.1455249649999999</c:v>
                </c:pt>
                <c:pt idx="27">
                  <c:v>-8.2263443009999992</c:v>
                </c:pt>
                <c:pt idx="28">
                  <c:v>-2.1090854870000002</c:v>
                </c:pt>
                <c:pt idx="29">
                  <c:v>-1.172919595</c:v>
                </c:pt>
                <c:pt idx="30">
                  <c:v>5.6103415950000004</c:v>
                </c:pt>
                <c:pt idx="31">
                  <c:v>5.4411346719999996</c:v>
                </c:pt>
                <c:pt idx="32">
                  <c:v>0.76885367900000001</c:v>
                </c:pt>
                <c:pt idx="33">
                  <c:v>8.7104520819999998</c:v>
                </c:pt>
                <c:pt idx="34">
                  <c:v>-2.8589270490000001</c:v>
                </c:pt>
                <c:pt idx="35">
                  <c:v>15.690497648999999</c:v>
                </c:pt>
                <c:pt idx="36">
                  <c:v>-3.6024356540000002</c:v>
                </c:pt>
                <c:pt idx="37">
                  <c:v>3.7836675419999999</c:v>
                </c:pt>
                <c:pt idx="38">
                  <c:v>4.8646084719999996</c:v>
                </c:pt>
                <c:pt idx="39">
                  <c:v>4.0436611779999998</c:v>
                </c:pt>
                <c:pt idx="40">
                  <c:v>3.421105319</c:v>
                </c:pt>
                <c:pt idx="41">
                  <c:v>-7.9145405750000002</c:v>
                </c:pt>
                <c:pt idx="42">
                  <c:v>7.981994491</c:v>
                </c:pt>
                <c:pt idx="43">
                  <c:v>0.68333236900000005</c:v>
                </c:pt>
                <c:pt idx="44">
                  <c:v>3.6728855519999999</c:v>
                </c:pt>
                <c:pt idx="45">
                  <c:v>6.5159519059999997</c:v>
                </c:pt>
                <c:pt idx="46">
                  <c:v>4.0764864799999998</c:v>
                </c:pt>
                <c:pt idx="47">
                  <c:v>3.3720533700000002</c:v>
                </c:pt>
                <c:pt idx="48">
                  <c:v>-10.336449903</c:v>
                </c:pt>
                <c:pt idx="49">
                  <c:v>6.3749548149999997</c:v>
                </c:pt>
                <c:pt idx="50">
                  <c:v>1.269481705</c:v>
                </c:pt>
                <c:pt idx="51">
                  <c:v>1.6594477430000001</c:v>
                </c:pt>
                <c:pt idx="52">
                  <c:v>2.64933255</c:v>
                </c:pt>
                <c:pt idx="53">
                  <c:v>3.0010307749999998</c:v>
                </c:pt>
                <c:pt idx="54">
                  <c:v>2.2200429430000002</c:v>
                </c:pt>
                <c:pt idx="55">
                  <c:v>-21.476466383999998</c:v>
                </c:pt>
                <c:pt idx="56">
                  <c:v>-6.5862923990000004</c:v>
                </c:pt>
                <c:pt idx="57">
                  <c:v>5.3537831450000004</c:v>
                </c:pt>
                <c:pt idx="58">
                  <c:v>3.8359646920000001</c:v>
                </c:pt>
                <c:pt idx="59">
                  <c:v>3.9547861040000001</c:v>
                </c:pt>
                <c:pt idx="60">
                  <c:v>3.923117264</c:v>
                </c:pt>
                <c:pt idx="61">
                  <c:v>6.6577250689999996</c:v>
                </c:pt>
                <c:pt idx="62">
                  <c:v>-8.2972740270000003</c:v>
                </c:pt>
                <c:pt idx="63">
                  <c:v>0</c:v>
                </c:pt>
                <c:pt idx="64">
                  <c:v>38.319374119000003</c:v>
                </c:pt>
                <c:pt idx="65">
                  <c:v>0.482299217</c:v>
                </c:pt>
                <c:pt idx="66">
                  <c:v>-1.77890288</c:v>
                </c:pt>
                <c:pt idx="67">
                  <c:v>-1.954975841</c:v>
                </c:pt>
                <c:pt idx="68">
                  <c:v>8.9464422349999992</c:v>
                </c:pt>
                <c:pt idx="69">
                  <c:v>-14.519482219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4-4914-8C12-81CD914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62607"/>
        <c:axId val="453480847"/>
      </c:scatterChart>
      <c:valAx>
        <c:axId val="453462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Valor Corriente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53480847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</c:dispUnitsLbl>
        </c:dispUnits>
      </c:valAx>
      <c:valAx>
        <c:axId val="45348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Variación Porcentual Constante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53462607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[PIB por provincia.xlsm]Hoja1!TablaDinámica21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Per</a:t>
            </a:r>
            <a:r>
              <a:rPr lang="es-PA" baseline="0"/>
              <a:t> Capita </a:t>
            </a:r>
            <a:r>
              <a:rPr lang="es-PA"/>
              <a:t>por Provincia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Hoja1!$A$53:$A$62</c:f>
              <c:strCache>
                <c:ptCount val="10"/>
                <c:pt idx="0">
                  <c:v>Bocas del Toro</c:v>
                </c:pt>
                <c:pt idx="1">
                  <c:v>Chiriquí</c:v>
                </c:pt>
                <c:pt idx="2">
                  <c:v>Coclé</c:v>
                </c:pt>
                <c:pt idx="3">
                  <c:v>Colón</c:v>
                </c:pt>
                <c:pt idx="4">
                  <c:v>Darién</c:v>
                </c:pt>
                <c:pt idx="5">
                  <c:v>Herrera</c:v>
                </c:pt>
                <c:pt idx="6">
                  <c:v>Los Santos</c:v>
                </c:pt>
                <c:pt idx="7">
                  <c:v>Panamá</c:v>
                </c:pt>
                <c:pt idx="8">
                  <c:v>Panamá Oeste</c:v>
                </c:pt>
                <c:pt idx="9">
                  <c:v>Veraguas</c:v>
                </c:pt>
              </c:strCache>
            </c:strRef>
          </c:cat>
          <c:val>
            <c:numRef>
              <c:f>Hoja1!$B$53:$B$62</c:f>
              <c:numCache>
                <c:formatCode>General</c:formatCode>
                <c:ptCount val="10"/>
                <c:pt idx="0">
                  <c:v>40800.176302406995</c:v>
                </c:pt>
                <c:pt idx="1">
                  <c:v>41583.633580174996</c:v>
                </c:pt>
                <c:pt idx="2">
                  <c:v>46847.751507224006</c:v>
                </c:pt>
                <c:pt idx="3">
                  <c:v>204463.74102012598</c:v>
                </c:pt>
                <c:pt idx="4">
                  <c:v>21142.585546923998</c:v>
                </c:pt>
                <c:pt idx="5">
                  <c:v>54297.662631223997</c:v>
                </c:pt>
                <c:pt idx="6">
                  <c:v>51138.297624085004</c:v>
                </c:pt>
                <c:pt idx="7">
                  <c:v>180938.13105735902</c:v>
                </c:pt>
                <c:pt idx="8">
                  <c:v>29211.74685222</c:v>
                </c:pt>
                <c:pt idx="9">
                  <c:v>41110.581323969003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7C00-45B1-A0AE-8ED07C524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2027023"/>
        <c:axId val="672028463"/>
      </c:barChart>
      <c:catAx>
        <c:axId val="67202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672028463"/>
        <c:crosses val="autoZero"/>
        <c:auto val="1"/>
        <c:lblAlgn val="ctr"/>
        <c:lblOffset val="100"/>
        <c:noMultiLvlLbl val="0"/>
      </c:catAx>
      <c:valAx>
        <c:axId val="67202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67202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[PIB por provincia.xlsm]Hoja1!TablaDinámica9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Suma de Composición Corriente por Provincia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Hoja1!$A$72:$A$81</c:f>
              <c:strCache>
                <c:ptCount val="10"/>
                <c:pt idx="0">
                  <c:v>Bocas del Toro</c:v>
                </c:pt>
                <c:pt idx="1">
                  <c:v>Chiriquí</c:v>
                </c:pt>
                <c:pt idx="2">
                  <c:v>Coclé</c:v>
                </c:pt>
                <c:pt idx="3">
                  <c:v>Colón</c:v>
                </c:pt>
                <c:pt idx="4">
                  <c:v>Darién</c:v>
                </c:pt>
                <c:pt idx="5">
                  <c:v>Herrera</c:v>
                </c:pt>
                <c:pt idx="6">
                  <c:v>Los Santos</c:v>
                </c:pt>
                <c:pt idx="7">
                  <c:v>Panamá</c:v>
                </c:pt>
                <c:pt idx="8">
                  <c:v>Panamá Oeste</c:v>
                </c:pt>
                <c:pt idx="9">
                  <c:v>Veraguas</c:v>
                </c:pt>
              </c:strCache>
            </c:strRef>
          </c:cat>
          <c:val>
            <c:numRef>
              <c:f>Hoja1!$B$72:$B$81</c:f>
              <c:numCache>
                <c:formatCode>General</c:formatCode>
                <c:ptCount val="10"/>
                <c:pt idx="0">
                  <c:v>19.066303307000002</c:v>
                </c:pt>
                <c:pt idx="1">
                  <c:v>78.971794418999991</c:v>
                </c:pt>
                <c:pt idx="2">
                  <c:v>39.877077100000008</c:v>
                </c:pt>
                <c:pt idx="3">
                  <c:v>197.28567132799998</c:v>
                </c:pt>
                <c:pt idx="4">
                  <c:v>5.0096158480000001</c:v>
                </c:pt>
                <c:pt idx="5">
                  <c:v>19.247525335999999</c:v>
                </c:pt>
                <c:pt idx="6">
                  <c:v>15.175462295000001</c:v>
                </c:pt>
                <c:pt idx="7">
                  <c:v>950.0596639659999</c:v>
                </c:pt>
                <c:pt idx="8">
                  <c:v>42.836824872000001</c:v>
                </c:pt>
                <c:pt idx="9">
                  <c:v>32.470061528999999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A-44D0-BFF8-13FAC07C8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6228415"/>
        <c:axId val="806234655"/>
      </c:barChart>
      <c:catAx>
        <c:axId val="80622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806234655"/>
        <c:crosses val="autoZero"/>
        <c:auto val="1"/>
        <c:lblAlgn val="ctr"/>
        <c:lblOffset val="100"/>
        <c:noMultiLvlLbl val="0"/>
      </c:catAx>
      <c:valAx>
        <c:axId val="80623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806228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[PIB por provincia.xlsm]Hoja1!Tabla dinámica2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"Provincia": </a:t>
            </a:r>
            <a:r>
              <a:rPr lang="en-US">
                <a:solidFill>
                  <a:schemeClr val="accent1"/>
                </a:solidFill>
              </a:rPr>
              <a:t>Panamá</a:t>
            </a:r>
            <a:r>
              <a:rPr lang="en-US"/>
              <a:t> representa la mayoría de la sección "Composición Corriente".</a:t>
            </a:r>
          </a:p>
        </c:rich>
      </c:tx>
      <c:layout>
        <c:manualLayout>
          <c:xMode val="edge"/>
          <c:yMode val="edge"/>
          <c:x val="0.1122290026246719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2D2D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ED733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Hoja1!$B$105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10-4477-BA66-D6EBB39E48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10-4477-BA66-D6EBB39E48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10-4477-BA66-D6EBB39E48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10-4477-BA66-D6EBB39E48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810-4477-BA66-D6EBB39E487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810-4477-BA66-D6EBB39E487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810-4477-BA66-D6EBB39E487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810-4477-BA66-D6EBB39E487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810-4477-BA66-D6EBB39E487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810-4477-BA66-D6EBB39E4872}"/>
              </c:ext>
            </c:extLst>
          </c:dPt>
          <c:cat>
            <c:strRef>
              <c:f>Hoja1!$A$106:$A$116</c:f>
              <c:strCache>
                <c:ptCount val="10"/>
                <c:pt idx="0">
                  <c:v>Panamá</c:v>
                </c:pt>
                <c:pt idx="1">
                  <c:v>Colón</c:v>
                </c:pt>
                <c:pt idx="2">
                  <c:v>Panamá Oeste</c:v>
                </c:pt>
                <c:pt idx="3">
                  <c:v>Chiriquí</c:v>
                </c:pt>
                <c:pt idx="4">
                  <c:v>Coclé</c:v>
                </c:pt>
                <c:pt idx="5">
                  <c:v>Veraguas</c:v>
                </c:pt>
                <c:pt idx="6">
                  <c:v>Bocas del Toro</c:v>
                </c:pt>
                <c:pt idx="7">
                  <c:v>Herrera</c:v>
                </c:pt>
                <c:pt idx="8">
                  <c:v>Los Santos</c:v>
                </c:pt>
                <c:pt idx="9">
                  <c:v>Darién</c:v>
                </c:pt>
              </c:strCache>
            </c:strRef>
          </c:cat>
          <c:val>
            <c:numRef>
              <c:f>Hoja1!$B$106:$B$116</c:f>
              <c:numCache>
                <c:formatCode>General</c:formatCode>
                <c:ptCount val="10"/>
                <c:pt idx="0">
                  <c:v>450.36767984900007</c:v>
                </c:pt>
                <c:pt idx="1">
                  <c:v>106.452531467</c:v>
                </c:pt>
                <c:pt idx="2">
                  <c:v>42.836824871999994</c:v>
                </c:pt>
                <c:pt idx="3">
                  <c:v>37.245894962999998</c:v>
                </c:pt>
                <c:pt idx="4">
                  <c:v>19.534855678999996</c:v>
                </c:pt>
                <c:pt idx="5">
                  <c:v>15.841393721999999</c:v>
                </c:pt>
                <c:pt idx="6">
                  <c:v>9.1264969550000004</c:v>
                </c:pt>
                <c:pt idx="7">
                  <c:v>9.0738627160000007</c:v>
                </c:pt>
                <c:pt idx="8">
                  <c:v>7.1987818379999995</c:v>
                </c:pt>
                <c:pt idx="9">
                  <c:v>2.3216779369999996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810-4477-BA66-D6EBB39E4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86</xdr:row>
      <xdr:rowOff>0</xdr:rowOff>
    </xdr:from>
    <xdr:to>
      <xdr:col>6</xdr:col>
      <xdr:colOff>853440</xdr:colOff>
      <xdr:row>101</xdr:row>
      <xdr:rowOff>0</xdr:rowOff>
    </xdr:to>
    <xdr:graphicFrame macro="">
      <xdr:nvGraphicFramePr>
        <xdr:cNvPr id="2" name="Gráfico 1" descr="Tipo de gráfico: Barras apiladas. &quot;Provincia&quot;: Colón y Panamá tienen valores de &quot;Per Cápita Corriente&quot; notablemente superiores.&#10;&#10;Descripción generada automáticamente">
          <a:extLst>
            <a:ext uri="{FF2B5EF4-FFF2-40B4-BE49-F238E27FC236}">
              <a16:creationId xmlns:a16="http://schemas.microsoft.com/office/drawing/2014/main" id="{F7105C33-775B-4B33-8272-3B1D360C0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358140</xdr:colOff>
      <xdr:row>137</xdr:row>
      <xdr:rowOff>175260</xdr:rowOff>
    </xdr:from>
    <xdr:to>
      <xdr:col>4</xdr:col>
      <xdr:colOff>68580</xdr:colOff>
      <xdr:row>152</xdr:row>
      <xdr:rowOff>175260</xdr:rowOff>
    </xdr:to>
    <xdr:graphicFrame macro="">
      <xdr:nvGraphicFramePr>
        <xdr:cNvPr id="5" name="Gráfico 4" descr="Tipo de gráfico: Dispersión. Campo: Variación Porcentual Constante y campo: Variación Porcentual Corriente parece estar muy correlacionado.&#10;&#10;Descripción generada automáticamente">
          <a:extLst>
            <a:ext uri="{FF2B5EF4-FFF2-40B4-BE49-F238E27FC236}">
              <a16:creationId xmlns:a16="http://schemas.microsoft.com/office/drawing/2014/main" id="{D3A1E0E1-8294-449F-805F-C6376256B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358140</xdr:colOff>
      <xdr:row>122</xdr:row>
      <xdr:rowOff>22860</xdr:rowOff>
    </xdr:from>
    <xdr:to>
      <xdr:col>4</xdr:col>
      <xdr:colOff>68580</xdr:colOff>
      <xdr:row>137</xdr:row>
      <xdr:rowOff>22860</xdr:rowOff>
    </xdr:to>
    <xdr:graphicFrame macro="">
      <xdr:nvGraphicFramePr>
        <xdr:cNvPr id="6" name="Gráfico 5" descr="Tipo de gráfico: Dispersión. Valor Corriente y Variación Porcentual Constante parecen agruparse en 2 grupos.&#10;&#10;Descripción generada automáticamente">
          <a:extLst>
            <a:ext uri="{FF2B5EF4-FFF2-40B4-BE49-F238E27FC236}">
              <a16:creationId xmlns:a16="http://schemas.microsoft.com/office/drawing/2014/main" id="{A9197E83-89C2-4EBA-B58D-74306AA75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228599</xdr:colOff>
      <xdr:row>50</xdr:row>
      <xdr:rowOff>152400</xdr:rowOff>
    </xdr:from>
    <xdr:to>
      <xdr:col>7</xdr:col>
      <xdr:colOff>504824</xdr:colOff>
      <xdr:row>66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5EFDA45-6765-4744-AA7D-7C1395CC3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1714500</xdr:colOff>
      <xdr:row>69</xdr:row>
      <xdr:rowOff>68580</xdr:rowOff>
    </xdr:from>
    <xdr:to>
      <xdr:col>7</xdr:col>
      <xdr:colOff>780098</xdr:colOff>
      <xdr:row>83</xdr:row>
      <xdr:rowOff>30480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E803100-2509-4F9D-AFD5-BAE1148D4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104</xdr:row>
      <xdr:rowOff>0</xdr:rowOff>
    </xdr:from>
    <xdr:to>
      <xdr:col>6</xdr:col>
      <xdr:colOff>838200</xdr:colOff>
      <xdr:row>119</xdr:row>
      <xdr:rowOff>0</xdr:rowOff>
    </xdr:to>
    <xdr:graphicFrame macro="">
      <xdr:nvGraphicFramePr>
        <xdr:cNvPr id="11" name="Gráfico 10" descr="Tipo de gráfico: Anillo. &quot;Provincia&quot;: Panamá representa la mayoría de la sección &quot;Composición Corriente&quot;.&#10;&#10;Descripción generada automáticamente">
          <a:extLst>
            <a:ext uri="{FF2B5EF4-FFF2-40B4-BE49-F238E27FC236}">
              <a16:creationId xmlns:a16="http://schemas.microsoft.com/office/drawing/2014/main" id="{AD15692D-0098-4291-99AE-1B8BA674E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Camarena" refreshedDate="45055.718938425925" createdVersion="8" refreshedVersion="8" minRefreshableVersion="3" recordCount="147" xr:uid="{00000000-000A-0000-FFFF-FFFF0C000000}">
  <cacheSource type="worksheet">
    <worksheetSource name="Tabla1"/>
  </cacheSource>
  <cacheFields count="12">
    <cacheField name="Código Provincia" numFmtId="0">
      <sharedItems containsMixedTypes="1" containsNumber="1" containsInteger="1" minValue="1" maxValue="13"/>
    </cacheField>
    <cacheField name="Provincia" numFmtId="0">
      <sharedItems count="11">
        <s v="Bocas del Toro"/>
        <s v="Coclé"/>
        <s v="Colón"/>
        <s v="Chiriquí"/>
        <s v="Darién"/>
        <s v="Herrera"/>
        <s v="Los Santos"/>
        <s v="Panamá"/>
        <s v="PIB"/>
        <s v="Veraguas"/>
        <s v="Panamá Oeste"/>
      </sharedItems>
    </cacheField>
    <cacheField name="Año" numFmtId="0">
      <sharedItems containsSemiMixedTypes="0" containsString="0" containsNumber="1" containsInteger="1" minValue="2007" maxValue="2020"/>
    </cacheField>
    <cacheField name="Composición Constante" numFmtId="0">
      <sharedItems containsSemiMixedTypes="0" containsString="0" containsNumber="1" minValue="0.25609838400000001" maxValue="100"/>
    </cacheField>
    <cacheField name="Composición Corriente" numFmtId="0">
      <sharedItems containsSemiMixedTypes="0" containsString="0" containsNumber="1" minValue="0.30649527900000001" maxValue="100"/>
    </cacheField>
    <cacheField name="Per Cápita Constante" numFmtId="0">
      <sharedItems containsSemiMixedTypes="0" containsString="0" containsNumber="1" minValue="1410.666268041" maxValue="22402.360525096999"/>
    </cacheField>
    <cacheField name="Per Cápita Corriente" numFmtId="0">
      <sharedItems containsSemiMixedTypes="0" containsString="0" containsNumber="1" minValue="1410.666268041" maxValue="35049.718622492997"/>
    </cacheField>
    <cacheField name="Valor Constante" numFmtId="0">
      <sharedItems containsSemiMixedTypes="0" containsString="0" containsNumber="1" minValue="83.143259172" maxValue="43043.962110555003"/>
    </cacheField>
    <cacheField name="Valor Corriente" numFmtId="0">
      <sharedItems containsSemiMixedTypes="0" containsString="0" containsNumber="1" minValue="83.143259172" maxValue="66984.427150321004"/>
    </cacheField>
    <cacheField name="Valores2" numFmtId="0">
      <sharedItems containsSemiMixedTypes="0" containsString="0" containsNumber="1" minValue="83.143259172" maxValue="66984.427150321004"/>
    </cacheField>
    <cacheField name="Variación Porcentual Constante" numFmtId="0">
      <sharedItems containsString="0" containsBlank="1" containsNumber="1" minValue="-21.572620521000001" maxValue="43.345292313000002"/>
    </cacheField>
    <cacheField name="Variación Porcentual Corriente" numFmtId="0">
      <sharedItems containsString="0" containsBlank="1" containsNumber="1" minValue="-22.19689485" maxValue="58.265879185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Camarena" refreshedDate="45073.467699537039" createdVersion="8" refreshedVersion="8" minRefreshableVersion="3" recordCount="147" xr:uid="{9C35F3AD-1A01-4B9E-813C-32E07B292AA1}">
  <cacheSource type="worksheet">
    <worksheetSource name="Tabla1"/>
  </cacheSource>
  <cacheFields count="12">
    <cacheField name="Código Provincia" numFmtId="0">
      <sharedItems containsMixedTypes="1" containsNumber="1" containsInteger="1" minValue="1" maxValue="13"/>
    </cacheField>
    <cacheField name="Provincia" numFmtId="0">
      <sharedItems count="11">
        <s v="Bocas del Toro"/>
        <s v="Coclé"/>
        <s v="Colón"/>
        <s v="Chiriquí"/>
        <s v="Darién"/>
        <s v="Herrera"/>
        <s v="Los Santos"/>
        <s v="Panamá"/>
        <s v="PIB"/>
        <s v="Veraguas"/>
        <s v="Panamá Oeste"/>
      </sharedItems>
    </cacheField>
    <cacheField name="Año" numFmtId="0">
      <sharedItems containsSemiMixedTypes="0" containsString="0" containsNumber="1" containsInteger="1" minValue="2007" maxValue="2020" count="14"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Composición Constante" numFmtId="0">
      <sharedItems containsSemiMixedTypes="0" containsString="0" containsNumber="1" minValue="0.25609838400000001" maxValue="100" count="134">
        <n v="1.2338872400000001"/>
        <n v="1.6100393529999999"/>
        <n v="1.544868111"/>
        <n v="1.3551830419999999"/>
        <n v="1.2691902260000001"/>
        <n v="1.2061660780000001"/>
        <n v="1.266493324"/>
        <n v="1.2677984250000001"/>
        <n v="1.322684499"/>
        <n v="1.3107696019999999"/>
        <n v="1.3057243009999999"/>
        <n v="1.3588635570000001"/>
        <n v="1.352719751"/>
        <n v="1.8042642529999999"/>
        <n v="3.1639371949999999"/>
        <n v="3.008805433"/>
        <n v="2.7783899239999998"/>
        <n v="2.7627378619999998"/>
        <n v="2.6304958539999999"/>
        <n v="2.5547298230000002"/>
        <n v="2.6594635740000001"/>
        <n v="2.7215683909999999"/>
        <n v="2.5875494099999998"/>
        <n v="2.4405061670000001"/>
        <n v="2.3853742649999998"/>
        <n v="2.422274303"/>
        <n v="2.4834812579999999"/>
        <n v="2.6197727670000002"/>
        <n v="13.431747548000001"/>
        <n v="13.536741579999999"/>
        <n v="13.075838153999999"/>
        <n v="13.045236340000001"/>
        <n v="12.973711433"/>
        <n v="12.439308384"/>
        <n v="10.919107819000001"/>
        <n v="10.167299583"/>
        <n v="12.018596007999999"/>
        <n v="14.682986721000001"/>
        <n v="17.163721643999999"/>
        <n v="17.756989264000001"/>
        <n v="17.712421850999998"/>
        <n v="16.929334319999999"/>
        <n v="6.396563553"/>
        <n v="6.3280193410000001"/>
        <n v="6.855232483"/>
        <n v="6.6032719999999996"/>
        <n v="5.7148844109999999"/>
        <n v="5.7404897159999999"/>
        <n v="5.5142993960000002"/>
        <n v="5.4168408760000002"/>
        <n v="5.7011622370000001"/>
        <n v="5.680873364"/>
        <n v="5.5829493230000002"/>
        <n v="5.6399486349999997"/>
        <n v="5.6490296180000001"/>
        <n v="6.3180944490000002"/>
        <n v="0.39041754699999998"/>
        <n v="0.40209382799999999"/>
        <n v="0.364688866"/>
        <n v="0.35530118300000002"/>
        <n v="0.335224466"/>
        <n v="0.30666390599999999"/>
        <n v="0.30113549499999998"/>
        <n v="0.28056894700000001"/>
        <n v="0.26224428399999999"/>
        <n v="0.26388583300000001"/>
        <n v="0.26351048100000002"/>
        <n v="0.25609838400000001"/>
        <n v="0.27035004800000001"/>
        <n v="0.32005423500000002"/>
        <n v="1.4646503369999999"/>
        <n v="1.4305247059999999"/>
        <n v="1.624816829"/>
        <n v="1.5372498400000001"/>
        <n v="1.4065008880000001"/>
        <n v="1.355132419"/>
        <n v="1.349714241"/>
        <n v="1.4861915459999999"/>
        <n v="1.3549750890000001"/>
        <n v="1.3398738830000001"/>
        <n v="1.33065236"/>
        <n v="1.335250842"/>
        <n v="1.3409739700000001"/>
        <n v="1.504893053"/>
        <n v="1.3503150429999999"/>
        <n v="1.383249261"/>
        <n v="1.149087982"/>
        <n v="1.1282415619999999"/>
        <n v="1.071498386"/>
        <n v="1.0280603610000001"/>
        <n v="1.017832957"/>
        <n v="1.0460757169999999"/>
        <n v="0.99611886599999999"/>
        <n v="0.98396567599999996"/>
        <n v="0.99258189500000005"/>
        <n v="0.99632630600000005"/>
        <n v="1.0001221659999999"/>
        <n v="1.0928566850000001"/>
        <n v="70.088451106999997"/>
        <n v="69.918473202000001"/>
        <n v="70.227979887000004"/>
        <n v="70.901703014999995"/>
        <n v="72.361765954000006"/>
        <n v="100"/>
        <n v="73.210893487999996"/>
        <n v="74.550692932999993"/>
        <n v="70.156345216999995"/>
        <n v="67.194852815999994"/>
        <n v="65.085965324"/>
        <n v="63.27253391"/>
        <n v="62.854941105000002"/>
        <n v="62.391265601999997"/>
        <n v="59.705984057000002"/>
        <n v="2.4800248229999999"/>
        <n v="2.3820515329999998"/>
        <n v="2.3858081310000001"/>
        <n v="2.3005204090000002"/>
        <n v="2.213256302"/>
        <n v="2.1103907999999998"/>
        <n v="2.375263903"/>
        <n v="2.111824119"/>
        <n v="2.1042548860000001"/>
        <n v="2.0818514810000002"/>
        <n v="2.0495852160000001"/>
        <n v="2.054285358"/>
        <n v="2.127655936"/>
        <n v="2.3778139770000002"/>
        <n v="5.3226899960000003"/>
        <n v="6.9631323680000001"/>
        <n v="6.6664989099999996"/>
        <n v="6.2011800360000002"/>
        <n v="5.863845564"/>
        <n v="6.2036014479999997"/>
        <n v="6.4625700439999996"/>
      </sharedItems>
    </cacheField>
    <cacheField name="Composición Corriente" numFmtId="0">
      <sharedItems containsSemiMixedTypes="0" containsString="0" containsNumber="1" minValue="0.30649527900000001" maxValue="100"/>
    </cacheField>
    <cacheField name="Per Cápita Constante" numFmtId="0">
      <sharedItems containsSemiMixedTypes="0" containsString="0" containsNumber="1" minValue="1410.666268041" maxValue="22402.360525096999" count="147">
        <n v="2140.6448132790001"/>
        <n v="2972.5226264170001"/>
        <n v="2798.604066289"/>
        <n v="2519.4932348560001"/>
        <n v="2548.126058845"/>
        <n v="2579.4056115220001"/>
        <n v="2810.2576455859999"/>
        <n v="2869.4864433460002"/>
        <n v="3074.8327653289998"/>
        <n v="3108.3620336479999"/>
        <n v="3178.1664647379998"/>
        <n v="3334.8073954279998"/>
        <n v="3324.9249209310001"/>
        <n v="3540.5422221929998"/>
        <n v="2849.4467072309999"/>
        <n v="2941.7640590010001"/>
        <n v="2718.6848137900001"/>
        <n v="2829.3846931640001"/>
        <n v="2966.5564376749999"/>
        <n v="3132.3129399029999"/>
        <n v="3452.5215208630002"/>
        <n v="3677.6308454199998"/>
        <n v="3662.8973654890001"/>
        <n v="3592.9855666530002"/>
        <n v="3679.9789975879999"/>
        <n v="3845.9966014450001"/>
        <n v="4031.6528879530001"/>
        <n v="3465.938071049"/>
        <n v="10239.969498390001"/>
        <n v="11146.933089242"/>
        <n v="10720.786424499"/>
        <n v="11133.095337784"/>
        <n v="12125.349032385"/>
        <n v="12549.724132469"/>
        <n v="11580.986125425001"/>
        <n v="11141.839184823"/>
        <n v="13699.025006612001"/>
        <n v="17281.893660954"/>
        <n v="20988.837586551999"/>
        <n v="22155.679699242999"/>
        <n v="22402.360525096999"/>
        <n v="17297.261716650999"/>
        <n v="2328.3909682459998"/>
        <n v="2496.2443836299999"/>
        <n v="2701.2058177909998"/>
        <n v="2717.2918783589998"/>
        <n v="2583.8518257420001"/>
        <n v="2813.4209347679998"/>
        <n v="2852.8859077769998"/>
        <n v="2906.4820579799998"/>
        <n v="3194.4201686649999"/>
        <n v="3299.799445135"/>
        <n v="3382.891239046"/>
        <n v="3500.9335910499999"/>
        <n v="3568.7056856150002"/>
        <n v="3237.1096763710002"/>
        <n v="1410.666268041"/>
        <n v="1570.5688172099999"/>
        <n v="1419.888033838"/>
        <n v="1441.9857531109999"/>
        <n v="1492.8186086220001"/>
        <n v="1479.4129011319999"/>
        <n v="1531.6824001580001"/>
        <n v="1478.818976021"/>
        <n v="1441.640106675"/>
        <n v="1501.5312361220001"/>
        <n v="1561.3343564520001"/>
        <n v="1551.942694935"/>
        <n v="1664.4169054680001"/>
        <n v="1595.8784891390001"/>
        <n v="2719.5593828229999"/>
        <n v="2901.5866792649999"/>
        <n v="3320.2333638589998"/>
        <n v="3310.0618106450002"/>
        <n v="3359.131974975"/>
        <n v="3541.8702633419998"/>
        <n v="3760.4286034400002"/>
        <n v="4339.5294345040002"/>
        <n v="4173.8487864930003"/>
        <n v="4322.8414039979998"/>
        <n v="4524.8331082280001"/>
        <n v="4700.4669032339998"/>
        <n v="4855.9990560329998"/>
        <n v="4467.2718603849999"/>
        <n v="3097.836605855"/>
        <n v="3469.742366035"/>
        <n v="2905.8928656130001"/>
        <n v="3008.2164995789999"/>
        <n v="3169.8604660020001"/>
        <n v="3330.0791142469998"/>
        <n v="3516.2613560340001"/>
        <n v="3788.9742366370001"/>
        <n v="3808.2100571149999"/>
        <n v="3942.2393649740002"/>
        <n v="4194.272091326"/>
        <n v="4361.4108303479998"/>
        <n v="4505.8845115309996"/>
        <n v="4039.4172587889998"/>
        <n v="8525.8542661810006"/>
        <n v="9139.0236387969999"/>
        <n v="9095.0996134479992"/>
        <n v="9514.2187906920008"/>
        <n v="10585.062039431001"/>
        <n v="6127.034272766"/>
        <n v="6612.4746935140001"/>
        <n v="6579.3441801839999"/>
        <n v="6845.2118854370001"/>
        <n v="7492.8183030640002"/>
        <n v="8087.2093053250001"/>
        <n v="8503.5568791919995"/>
        <n v="8791.6141176799993"/>
        <n v="9150.3350873769996"/>
        <n v="9456.9599595399995"/>
        <n v="9836.8696798140008"/>
        <n v="11505.418385632"/>
        <n v="12266.86809951"/>
        <n v="16199.870214889999"/>
        <n v="16114.954110314"/>
        <n v="16091.737762999999"/>
        <n v="16227.751864046"/>
        <n v="16427.959266034999"/>
        <n v="16512.605788042001"/>
        <n v="12731.707217341"/>
        <n v="2247.3711104190002"/>
        <n v="2356.4614582549998"/>
        <n v="2375.282263783"/>
        <n v="2410.1063873090002"/>
        <n v="2567.3959105560002"/>
        <n v="2676.0821398640001"/>
        <n v="3206.8196756580001"/>
        <n v="2983.8969361019999"/>
        <n v="3131.7638851920001"/>
        <n v="3240.3763164960001"/>
        <n v="3357.0706982010001"/>
        <n v="3477.7790958360001"/>
        <n v="3698.161130939"/>
        <n v="3382.0143153590002"/>
        <n v="3390.944360732"/>
        <n v="4580.4925287830001"/>
        <n v="4505.4730310539999"/>
        <n v="4337.6281684249998"/>
        <n v="4171.9339437369999"/>
        <n v="4461.5094331689997"/>
        <n v="3763.7653863199998"/>
        <n v="10050.65331761"/>
        <n v="10202.872970410999"/>
        <n v="8255.1786022209999"/>
      </sharedItems>
    </cacheField>
    <cacheField name="Per Cápita Corriente" numFmtId="0">
      <sharedItems containsSemiMixedTypes="0" containsString="0" containsNumber="1" minValue="1410.666268041" maxValue="35049.718622492997"/>
    </cacheField>
    <cacheField name="Valor Constante" numFmtId="0">
      <sharedItems containsSemiMixedTypes="0" containsString="0" containsNumber="1" minValue="83.143259172" maxValue="43043.962110555003"/>
    </cacheField>
    <cacheField name="Valor Corriente" numFmtId="0">
      <sharedItems containsSemiMixedTypes="0" containsString="0" containsNumber="1" minValue="83.143259172" maxValue="66984.427150321004"/>
    </cacheField>
    <cacheField name="Valores2" numFmtId="0">
      <sharedItems containsSemiMixedTypes="0" containsString="0" containsNumber="1" minValue="83.143259172" maxValue="66984.427150321004"/>
    </cacheField>
    <cacheField name="Variación Porcentual Constante" numFmtId="0">
      <sharedItems containsString="0" containsBlank="1" containsNumber="1" minValue="-21.572620521000001" maxValue="43.345292313000002"/>
    </cacheField>
    <cacheField name="Variación Porcentual Corriente" numFmtId="0">
      <sharedItems containsString="0" containsBlank="1" containsNumber="1" minValue="-22.19689485" maxValue="58.265879185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Camarena" refreshedDate="45073.55753125" createdVersion="8" refreshedVersion="8" minRefreshableVersion="3" recordCount="70" xr:uid="{9AF290B0-6D7D-4D8F-944A-93C824A4D346}">
  <cacheSource type="worksheet">
    <worksheetSource ref="C6:N76" sheet="Datos transformados"/>
  </cacheSource>
  <cacheFields count="12">
    <cacheField name="Código Provincia" numFmtId="0">
      <sharedItems containsSemiMixedTypes="0" containsString="0" containsNumber="1" containsInteger="1" minValue="1" maxValue="13"/>
    </cacheField>
    <cacheField name="Provincia" numFmtId="0">
      <sharedItems count="10">
        <s v="Bocas del Toro"/>
        <s v="Coclé"/>
        <s v="Colón"/>
        <s v="Chiriquí"/>
        <s v="Darién"/>
        <s v="Herrera"/>
        <s v="Los Santos"/>
        <s v="Panamá"/>
        <s v="Veraguas"/>
        <s v="Panamá Oeste"/>
      </sharedItems>
    </cacheField>
    <cacheField name="Año" numFmtId="0">
      <sharedItems containsSemiMixedTypes="0" containsString="0" containsNumber="1" containsInteger="1" minValue="2014" maxValue="2020"/>
    </cacheField>
    <cacheField name="Composición Constante" numFmtId="0">
      <sharedItems containsSemiMixedTypes="0" containsString="0" containsNumber="1" minValue="0.25609838400000001" maxValue="70.156345216999995"/>
    </cacheField>
    <cacheField name="Composición Corriente" numFmtId="0">
      <sharedItems containsSemiMixedTypes="0" containsString="0" containsNumber="1" minValue="0.30649527900000001" maxValue="70.451758214999998"/>
    </cacheField>
    <cacheField name="Per Cápita Constante" numFmtId="0">
      <sharedItems containsSemiMixedTypes="0" containsString="0" containsNumber="1" minValue="1441.640106675" maxValue="22402.360525096999"/>
    </cacheField>
    <cacheField name="Per Cápita Corriente" numFmtId="0">
      <sharedItems containsSemiMixedTypes="0" containsString="0" containsNumber="1" minValue="2565.3358112649998" maxValue="35049.718622492997"/>
    </cacheField>
    <cacheField name="Valor Constante" numFmtId="0">
      <sharedItems containsSemiMixedTypes="0" containsString="0" containsNumber="1" minValue="95.394767498999997" maxValue="26855.672725920998"/>
    </cacheField>
    <cacheField name="Valor Corriente" numFmtId="0">
      <sharedItems containsSemiMixedTypes="0" containsString="0" containsNumber="1" minValue="167.44716440900001" maxValue="41615.462207522003"/>
    </cacheField>
    <cacheField name="Valores2" numFmtId="0">
      <sharedItems containsSemiMixedTypes="0" containsString="0" containsNumber="1" minValue="167.44716440900001" maxValue="41615.462207522003"/>
    </cacheField>
    <cacheField name="Variación Porcentual Constante" numFmtId="0">
      <sharedItems containsSemiMixedTypes="0" containsString="0" containsNumber="1" minValue="-21.572620521000001" maxValue="38.319374119000003"/>
    </cacheField>
    <cacheField name="Variación Porcentual Corriente" numFmtId="0">
      <sharedItems containsSemiMixedTypes="0" containsString="0" containsNumber="1" minValue="-22.19689485" maxValue="42.925676201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7">
  <r>
    <n v="1"/>
    <x v="0"/>
    <n v="2007"/>
    <n v="1.2338872400000001"/>
    <n v="1.2338873100000001"/>
    <n v="2140.6448132790001"/>
    <n v="2140.6448132790001"/>
    <n v="262.76843212"/>
    <n v="262.76843212"/>
    <n v="262.76843212"/>
    <m/>
    <m/>
  </r>
  <r>
    <n v="1"/>
    <x v="0"/>
    <n v="2008"/>
    <n v="1.6100393529999999"/>
    <n v="1.653182583"/>
    <n v="2972.5226264170001"/>
    <n v="3281.9278490070001"/>
    <n v="376.666177129"/>
    <n v="415.87276931500003"/>
    <n v="415.87276931500003"/>
    <n v="43.345292313000002"/>
    <n v="58.265879185000003"/>
  </r>
  <r>
    <n v="1"/>
    <x v="0"/>
    <n v="2009"/>
    <n v="1.544868111"/>
    <n v="1.5615539860000001"/>
    <n v="2798.604066289"/>
    <n v="3238.6020278579999"/>
    <n v="365.91188445900002"/>
    <n v="423.44073793799998"/>
    <n v="423.44073793799998"/>
    <n v="-2.855125658"/>
    <n v="1.819779794"/>
  </r>
  <r>
    <n v="1"/>
    <x v="0"/>
    <n v="2010"/>
    <n v="1.3551830419999999"/>
    <n v="1.4206835069999999"/>
    <n v="2519.4932348560001"/>
    <n v="3102.1940290880002"/>
    <n v="339.69067538899998"/>
    <n v="418.25330997200001"/>
    <n v="418.25330997200001"/>
    <n v="-7.1659900060000004"/>
    <n v="-1.2250658720000001"/>
  </r>
  <r>
    <n v="1"/>
    <x v="0"/>
    <n v="2011"/>
    <n v="1.2691902260000001"/>
    <n v="1.423501294"/>
    <n v="2548.126058845"/>
    <n v="3552.8354044610001"/>
    <n v="354.12836715399999"/>
    <n v="493.75885317000001"/>
    <n v="493.75885317000001"/>
    <n v="4.2502467130000001"/>
    <n v="18.052587127999999"/>
  </r>
  <r>
    <n v="1"/>
    <x v="0"/>
    <n v="2012"/>
    <n v="1.2061660780000001"/>
    <n v="1.3141351859999999"/>
    <n v="2579.4056115220001"/>
    <n v="3709.3752238679999"/>
    <n v="369.45342455000002"/>
    <n v="531.30123206500002"/>
    <n v="531.30123206500002"/>
    <n v="4.3275430090000002"/>
    <n v="7.6033834440000003"/>
  </r>
  <r>
    <n v="1"/>
    <x v="0"/>
    <n v="2013"/>
    <n v="1.266493324"/>
    <n v="1.332862486"/>
    <n v="2810.2576455859999"/>
    <n v="4118.5952098369999"/>
    <n v="414.712531017"/>
    <n v="607.78521371099998"/>
    <n v="607.78521371099998"/>
    <n v="12.250287440999999"/>
    <n v="14.395596514999999"/>
  </r>
  <r>
    <n v="1"/>
    <x v="0"/>
    <n v="2014"/>
    <n v="1.2677984250000001"/>
    <n v="1.262574428"/>
    <n v="2869.4864433460002"/>
    <n v="4146.5727415680003"/>
    <n v="436.17341733400002"/>
    <n v="630.29564300899995"/>
    <n v="630.29564300899995"/>
    <n v="5.1748825299999996"/>
    <n v="3.703681628"/>
  </r>
  <r>
    <n v="1"/>
    <x v="0"/>
    <n v="2015"/>
    <n v="1.322684499"/>
    <n v="1.2744715390000001"/>
    <n v="3074.8327653289998"/>
    <n v="4405.6255913269997"/>
    <n v="481.143681453"/>
    <n v="689.38348127999996"/>
    <n v="689.38348127999996"/>
    <n v="10.310179926"/>
    <n v="9.3746226749999995"/>
  </r>
  <r>
    <n v="1"/>
    <x v="0"/>
    <n v="2016"/>
    <n v="1.3107696019999999"/>
    <n v="1.287107894"/>
    <n v="3108.3620336479999"/>
    <n v="4629.5794789780002"/>
    <n v="500.42763724500003"/>
    <n v="745.33451863899995"/>
    <n v="745.33451863899995"/>
    <n v="4.0079411900000004"/>
    <n v="8.1160977709999997"/>
  </r>
  <r>
    <n v="1"/>
    <x v="0"/>
    <n v="2017"/>
    <n v="1.3057243009999999"/>
    <n v="1.2673509080000001"/>
    <n v="3178.1664647379998"/>
    <n v="4759.7952121839999"/>
    <n v="526.37428622300001"/>
    <n v="788.32680263199995"/>
    <n v="788.32680263199995"/>
    <n v="5.1848952869999998"/>
    <n v="5.768186354"/>
  </r>
  <r>
    <n v="1"/>
    <x v="0"/>
    <n v="2018"/>
    <n v="1.3588635570000001"/>
    <n v="1.3087777140000001"/>
    <n v="3334.8073954279998"/>
    <n v="4989.3238459450004"/>
    <n v="567.98439558899997"/>
    <n v="849.78163744100004"/>
    <n v="849.78163744100004"/>
    <n v="7.9050421829999999"/>
    <n v="7.7956038789999997"/>
  </r>
  <r>
    <n v="1"/>
    <x v="0"/>
    <n v="2019"/>
    <n v="1.352719751"/>
    <n v="1.160151004"/>
    <n v="3324.9249209310001"/>
    <n v="4437.6202982790001"/>
    <n v="582.26417707799999"/>
    <n v="777.12050425500001"/>
    <n v="777.12050425500001"/>
    <n v="2.5141151060000002"/>
    <n v="-8.5505652259999998"/>
  </r>
  <r>
    <n v="1"/>
    <x v="0"/>
    <n v="2020"/>
    <n v="1.8042642529999999"/>
    <n v="1.5660634680000001"/>
    <n v="3540.5422221929998"/>
    <n v="4696.4534567350001"/>
    <n v="637.262194572"/>
    <n v="845.314657678"/>
    <n v="845.314657678"/>
    <n v="9.4455437339999992"/>
    <n v="8.7752353779999996"/>
  </r>
  <r>
    <n v="2"/>
    <x v="1"/>
    <n v="2007"/>
    <n v="3.1639371949999999"/>
    <n v="3.163937373"/>
    <n v="2849.4467072309999"/>
    <n v="2849.4467072309999"/>
    <n v="673.79156617900003"/>
    <n v="673.79156617900003"/>
    <n v="673.79156617900003"/>
    <m/>
    <m/>
  </r>
  <r>
    <n v="2"/>
    <x v="1"/>
    <n v="2008"/>
    <n v="3.008805433"/>
    <n v="3.0229085809999998"/>
    <n v="2941.7640590010001"/>
    <n v="3178.0320775320001"/>
    <n v="703.90530403800005"/>
    <n v="760.43951551199996"/>
    <n v="760.43951551199996"/>
    <n v="4.469295754"/>
    <n v="12.859755699000001"/>
  </r>
  <r>
    <n v="2"/>
    <x v="1"/>
    <n v="2009"/>
    <n v="2.7783899239999998"/>
    <n v="2.8239786599999999"/>
    <n v="2718.6848137900001"/>
    <n v="3163.5711369370001"/>
    <n v="658.07940865600006"/>
    <n v="765.76770226500003"/>
    <n v="765.76770226500003"/>
    <n v="-6.51023584"/>
    <n v="0.70067199899999999"/>
  </r>
  <r>
    <n v="2"/>
    <x v="1"/>
    <n v="2010"/>
    <n v="2.7627378619999998"/>
    <n v="2.9450513570000001"/>
    <n v="2829.3846931640001"/>
    <n v="3542.4324175699999"/>
    <n v="692.50887995999994"/>
    <n v="867.03158879499995"/>
    <n v="867.03158879499995"/>
    <n v="5.2318110630000003"/>
    <n v="13.223838799999999"/>
  </r>
  <r>
    <n v="2"/>
    <x v="1"/>
    <n v="2011"/>
    <n v="2.6304958539999999"/>
    <n v="2.800592387"/>
    <n v="2966.5564376749999"/>
    <n v="3926.3402180869998"/>
    <n v="733.95869480199997"/>
    <n v="971.41975969700002"/>
    <n v="971.41975969700002"/>
    <n v="5.9854560770000003"/>
    <n v="12.039719458"/>
  </r>
  <r>
    <n v="2"/>
    <x v="1"/>
    <n v="2012"/>
    <n v="2.5547298230000002"/>
    <n v="2.737527483"/>
    <n v="3132.3129399029999"/>
    <n v="4430.2358583080004"/>
    <n v="782.52381558499997"/>
    <n v="1106.77481283"/>
    <n v="1106.77481283"/>
    <n v="6.6168738280000001"/>
    <n v="13.933734802"/>
  </r>
  <r>
    <n v="2"/>
    <x v="1"/>
    <n v="2013"/>
    <n v="2.6594635740000001"/>
    <n v="2.8482255799999998"/>
    <n v="3452.5215208630002"/>
    <n v="5149.1703847930003"/>
    <n v="870.83986077199995"/>
    <n v="1298.7906936679999"/>
    <n v="1298.7906936679999"/>
    <n v="11.286052056999999"/>
    <n v="17.349137206000002"/>
  </r>
  <r>
    <n v="2"/>
    <x v="1"/>
    <n v="2014"/>
    <n v="2.7215683909999999"/>
    <n v="2.9379506470000001"/>
    <n v="3677.6308454199998"/>
    <n v="5760.652886416"/>
    <n v="936.32849087499994"/>
    <n v="1466.6679855340001"/>
    <n v="1466.6679855340001"/>
    <n v="7.5201690980000002"/>
    <n v="12.925661746999999"/>
  </r>
  <r>
    <n v="2"/>
    <x v="1"/>
    <n v="2015"/>
    <n v="2.5875494099999998"/>
    <n v="2.798949538"/>
    <n v="3662.8973654890001"/>
    <n v="5891.7373153380004"/>
    <n v="941.25473600999999"/>
    <n v="1513.9997379230001"/>
    <n v="1513.9997379230001"/>
    <n v="0.526123597"/>
    <n v="3.227162034"/>
  </r>
  <r>
    <n v="2"/>
    <x v="1"/>
    <n v="2016"/>
    <n v="2.4405061670000001"/>
    <n v="2.7510089369999999"/>
    <n v="3592.9855666530002"/>
    <n v="6143.1188867740002"/>
    <n v="931.74020311499999"/>
    <n v="1593.0458759559999"/>
    <n v="1593.0458759559999"/>
    <n v="-1.010835062"/>
    <n v="5.2210139839999998"/>
  </r>
  <r>
    <n v="2"/>
    <x v="1"/>
    <n v="2017"/>
    <n v="2.3853742649999998"/>
    <n v="2.676419664"/>
    <n v="3679.9789975879999"/>
    <n v="6371.0242238150004"/>
    <n v="961.61163188099999"/>
    <n v="1664.8059689009999"/>
    <n v="1664.8059689009999"/>
    <n v="3.2059825970000002"/>
    <n v="4.5045842069999997"/>
  </r>
  <r>
    <n v="2"/>
    <x v="1"/>
    <n v="2018"/>
    <n v="2.422274303"/>
    <n v="2.6777979410000001"/>
    <n v="3845.9966014450001"/>
    <n v="6604.5658681929999"/>
    <n v="1012.473989317"/>
    <n v="1738.6783830649999"/>
    <n v="1738.6783830649999"/>
    <n v="5.2892826739999999"/>
    <n v="4.4372987330000004"/>
  </r>
  <r>
    <n v="2"/>
    <x v="1"/>
    <n v="2019"/>
    <n v="2.4834812579999999"/>
    <n v="2.7497831370000001"/>
    <n v="4031.6528879530001"/>
    <n v="6946.7600571450002"/>
    <n v="1068.9887315880001"/>
    <n v="1841.926482392"/>
    <n v="1841.926482392"/>
    <n v="5.5818463349999998"/>
    <n v="5.938309254"/>
  </r>
  <r>
    <n v="2"/>
    <x v="1"/>
    <n v="2020"/>
    <n v="2.6197727670000002"/>
    <n v="2.9429458149999999"/>
    <n v="3465.938071049"/>
    <n v="5950.1850451600003"/>
    <n v="925.29802088999998"/>
    <n v="1588.5149513209999"/>
    <n v="1588.5149513209999"/>
    <n v="-13.441742316999999"/>
    <n v="-13.757961216"/>
  </r>
  <r>
    <n v="3"/>
    <x v="2"/>
    <n v="2007"/>
    <n v="13.431747548000001"/>
    <n v="13.431748301000001"/>
    <n v="10239.969498390001"/>
    <n v="10239.969498390001"/>
    <n v="2860.4228397110001"/>
    <n v="2860.4228397110001"/>
    <n v="2860.4228397110001"/>
    <m/>
    <m/>
  </r>
  <r>
    <n v="3"/>
    <x v="2"/>
    <n v="2008"/>
    <n v="13.536741579999999"/>
    <n v="13.759107082"/>
    <n v="11146.933089242"/>
    <n v="12182.910023476001"/>
    <n v="3166.8994253189999"/>
    <n v="3461.22565222"/>
    <n v="3461.22565222"/>
    <n v="10.714380453"/>
    <n v="21.00398599"/>
  </r>
  <r>
    <n v="3"/>
    <x v="2"/>
    <n v="2009"/>
    <n v="13.075838153999999"/>
    <n v="13.131052956"/>
    <n v="10720.786424499"/>
    <n v="12325.574993968001"/>
    <n v="3097.0958278140001"/>
    <n v="3560.6983832820001"/>
    <n v="3560.6983832820001"/>
    <n v="-2.2041621199999999"/>
    <n v="2.8739163830000001"/>
  </r>
  <r>
    <n v="3"/>
    <x v="2"/>
    <n v="2010"/>
    <n v="13.045236340000001"/>
    <n v="13.041557477"/>
    <n v="11133.095337784"/>
    <n v="13072.234114588"/>
    <n v="3269.9236978509998"/>
    <n v="3839.4720262639999"/>
    <n v="3839.4720262639999"/>
    <n v="5.580320392"/>
    <n v="7.8291844179999996"/>
  </r>
  <r>
    <n v="3"/>
    <x v="2"/>
    <n v="2011"/>
    <n v="12.973711433"/>
    <n v="13.393049512999999"/>
    <n v="12125.349032385"/>
    <n v="15560.821483711999"/>
    <n v="3619.913825477"/>
    <n v="4645.5432065690002"/>
    <n v="4645.5432065690002"/>
    <n v="10.703311758"/>
    <n v="20.994323562999998"/>
  </r>
  <r>
    <n v="3"/>
    <x v="2"/>
    <n v="2012"/>
    <n v="12.439308384"/>
    <n v="12.982758295"/>
    <n v="12549.724132469"/>
    <n v="17288.332625188999"/>
    <n v="3810.209194135"/>
    <n v="5248.893380001"/>
    <n v="5248.893380001"/>
    <n v="5.2569032809999996"/>
    <n v="12.98772063"/>
  </r>
  <r>
    <n v="3"/>
    <x v="2"/>
    <n v="2013"/>
    <n v="10.919107819000001"/>
    <n v="11.093866237"/>
    <n v="11580.986125425001"/>
    <n v="16385.580963914999"/>
    <n v="3575.4557514329999"/>
    <n v="5058.8023388940001"/>
    <n v="5058.8023388940001"/>
    <n v="-6.1611693939999999"/>
    <n v="-3.6215451019999998"/>
  </r>
  <r>
    <n v="3"/>
    <x v="2"/>
    <n v="2014"/>
    <n v="10.167299583"/>
    <n v="10.192145582"/>
    <n v="11141.839184823"/>
    <n v="16206.723167213"/>
    <n v="3497.9581283970001"/>
    <n v="5088.0683249000003"/>
    <n v="5088.0683249000003"/>
    <n v="-2.1674893609999999"/>
    <n v="0.57851609999999998"/>
  </r>
  <r>
    <n v="3"/>
    <x v="2"/>
    <n v="2015"/>
    <n v="12.018596007999999"/>
    <n v="11.826457426999999"/>
    <n v="13699.025006612001"/>
    <n v="20044.849624252001"/>
    <n v="4371.9205396349998"/>
    <n v="6397.1333539329999"/>
    <n v="6397.1333539329999"/>
    <n v="24.984930613"/>
    <n v="25.728133849999999"/>
  </r>
  <r>
    <n v="3"/>
    <x v="2"/>
    <n v="2016"/>
    <n v="14.682986721000001"/>
    <n v="14.523892562"/>
    <n v="17281.893660954"/>
    <n v="25928.733617645001"/>
    <n v="5605.6932830160004"/>
    <n v="8410.4514660879995"/>
    <n v="8410.4514660879995"/>
    <n v="28.220383517999998"/>
    <n v="31.472192321000001"/>
  </r>
  <r>
    <n v="3"/>
    <x v="2"/>
    <n v="2017"/>
    <n v="17.163721643999999"/>
    <n v="17.069455076000001"/>
    <n v="20988.837586551999"/>
    <n v="32207.930094173"/>
    <n v="6919.1801987830004"/>
    <n v="10617.666234845001"/>
    <n v="10617.666234845001"/>
    <n v="23.431301883"/>
    <n v="26.243713284999998"/>
  </r>
  <r>
    <n v="3"/>
    <x v="2"/>
    <n v="2018"/>
    <n v="17.756989264000001"/>
    <n v="17.839231397999999"/>
    <n v="22155.679699242999"/>
    <n v="34575.843446952997"/>
    <n v="7422.1526992460003"/>
    <n v="11582.907554728999"/>
    <n v="11582.907554728999"/>
    <n v="7.2692499110000002"/>
    <n v="9.0908990589999998"/>
  </r>
  <r>
    <n v="3"/>
    <x v="2"/>
    <n v="2019"/>
    <n v="17.712421850999998"/>
    <n v="17.807669778000001"/>
    <n v="22402.360525096999"/>
    <n v="35049.718622492997"/>
    <n v="7624.1281504250001"/>
    <n v="11928.365589637"/>
    <n v="11928.365589637"/>
    <n v="2.7212516280000001"/>
    <n v="2.9824811539999998"/>
  </r>
  <r>
    <n v="3"/>
    <x v="2"/>
    <n v="2020"/>
    <n v="16.929334319999999"/>
    <n v="17.193679643999999"/>
    <n v="17297.261716650999"/>
    <n v="26847.097277433"/>
    <n v="5979.4039165209997"/>
    <n v="9280.6388223489994"/>
    <n v="9280.6388223489994"/>
    <n v="-21.572620521000001"/>
    <n v="-22.19689485"/>
  </r>
  <r>
    <n v="4"/>
    <x v="3"/>
    <n v="2007"/>
    <n v="6.396563553"/>
    <n v="6.3965639120000004"/>
    <n v="2328.3909682459998"/>
    <n v="2328.3909682459998"/>
    <n v="1362.2111656259999"/>
    <n v="1362.2111656259999"/>
    <n v="1362.2111656259999"/>
    <m/>
    <m/>
  </r>
  <r>
    <n v="4"/>
    <x v="3"/>
    <n v="2008"/>
    <n v="6.3280193410000001"/>
    <n v="6.3266276039999996"/>
    <n v="2496.2443836299999"/>
    <n v="2683.5587335999999"/>
    <n v="1480.430182888"/>
    <n v="1591.5193932249999"/>
    <n v="1591.5193932249999"/>
    <n v="8.6784648549999996"/>
    <n v="16.833530174"/>
  </r>
  <r>
    <n v="4"/>
    <x v="3"/>
    <n v="2009"/>
    <n v="6.855232483"/>
    <n v="6.497746384"/>
    <n v="2701.2058177909998"/>
    <n v="2931.2224137349999"/>
    <n v="1623.7056218969999"/>
    <n v="1761.9695177860001"/>
    <n v="1761.9695177860001"/>
    <n v="9.6779598700000005"/>
    <n v="10.709899312999999"/>
  </r>
  <r>
    <n v="4"/>
    <x v="3"/>
    <n v="2010"/>
    <n v="6.6032719999999996"/>
    <n v="6.3428302270000003"/>
    <n v="2717.2918783589998"/>
    <n v="3065.607654893"/>
    <n v="1655.1785672809999"/>
    <n v="1867.347459609"/>
    <n v="1867.347459609"/>
    <n v="1.9383406059999999"/>
    <n v="5.9806904010000004"/>
  </r>
  <r>
    <n v="4"/>
    <x v="3"/>
    <n v="2011"/>
    <n v="5.7148844109999999"/>
    <n v="5.508864559"/>
    <n v="2583.8518257420001"/>
    <n v="3096.3160231520001"/>
    <n v="1594.5621418129999"/>
    <n v="1910.817122104"/>
    <n v="1910.817122104"/>
    <n v="-3.6622287569999998"/>
    <n v="2.3278829160000001"/>
  </r>
  <r>
    <n v="4"/>
    <x v="3"/>
    <n v="2012"/>
    <n v="5.7404897159999999"/>
    <n v="5.4432115740000002"/>
    <n v="2813.4209347679998"/>
    <n v="3521.1877324739999"/>
    <n v="1758.334629232"/>
    <n v="2200.6754302290001"/>
    <n v="2200.6754302290001"/>
    <n v="10.270687050999999"/>
    <n v="15.169338015999999"/>
  </r>
  <r>
    <n v="4"/>
    <x v="3"/>
    <n v="2013"/>
    <n v="5.5142993960000002"/>
    <n v="5.2100551959999999"/>
    <n v="2852.8859077769998"/>
    <n v="3753.6771628219999"/>
    <n v="1805.654254522"/>
    <n v="2375.7848572470002"/>
    <n v="2375.7848572470002"/>
    <n v="2.69116154"/>
    <n v="7.9570764780000003"/>
  </r>
  <r>
    <n v="4"/>
    <x v="3"/>
    <n v="2014"/>
    <n v="5.4168408760000002"/>
    <n v="4.9931563140000002"/>
    <n v="2906.4820579799998"/>
    <n v="3887.5416994550001"/>
    <n v="1863.6101372380001"/>
    <n v="2492.6567498149998"/>
    <n v="2492.6567498149998"/>
    <n v="3.2096888190000001"/>
    <n v="4.9192961310000003"/>
  </r>
  <r>
    <n v="4"/>
    <x v="3"/>
    <n v="2015"/>
    <n v="5.7011622370000001"/>
    <n v="5.2186007339999998"/>
    <n v="3194.4201686649999"/>
    <n v="4348.0538974589999"/>
    <n v="2073.87187864"/>
    <n v="2822.8305071459999"/>
    <n v="2822.8305071459999"/>
    <n v="11.282496118999999"/>
    <n v="13.245857351"/>
  </r>
  <r>
    <n v="4"/>
    <x v="3"/>
    <n v="2016"/>
    <n v="5.680873364"/>
    <n v="5.3189701679999999"/>
    <n v="3299.799445135"/>
    <n v="4686.2056934169996"/>
    <n v="2168.8525817049999"/>
    <n v="3080.0930437010002"/>
    <n v="3080.0930437010002"/>
    <n v="4.5798732329999998"/>
    <n v="9.1136373899999992"/>
  </r>
  <r>
    <n v="4"/>
    <x v="3"/>
    <n v="2017"/>
    <n v="5.5829493230000002"/>
    <n v="5.2138382459999999"/>
    <n v="3382.891239046"/>
    <n v="4874.7027313110002"/>
    <n v="2250.6443071200001"/>
    <n v="3243.1494765470002"/>
    <n v="3243.1494765470002"/>
    <n v="3.7711980110000001"/>
    <n v="5.2938801050000004"/>
  </r>
  <r>
    <n v="4"/>
    <x v="3"/>
    <n v="2018"/>
    <n v="5.6399486349999997"/>
    <n v="5.2528935289999996"/>
    <n v="3500.9335910499999"/>
    <n v="5065.1022918360004"/>
    <n v="2357.4131494049998"/>
    <n v="3410.6727349470002"/>
    <n v="3410.6727349470002"/>
    <n v="4.7439234160000003"/>
    <n v="5.165449808"/>
  </r>
  <r>
    <n v="4"/>
    <x v="3"/>
    <n v="2019"/>
    <n v="5.6490296180000001"/>
    <n v="5.2623035659999999"/>
    <n v="3568.7056856150002"/>
    <n v="5173.3800716409996"/>
    <n v="2431.566168539"/>
    <n v="3524.9238988530001"/>
    <n v="3524.9238988530001"/>
    <n v="3.1455249649999999"/>
    <n v="3.349813154"/>
  </r>
  <r>
    <n v="4"/>
    <x v="3"/>
    <n v="2020"/>
    <n v="6.3180944490000002"/>
    <n v="5.9861324060000003"/>
    <n v="3237.1096763710002"/>
    <n v="4687.1478125109998"/>
    <n v="2231.5371636129998"/>
    <n v="3231.13690318"/>
    <n v="3231.13690318"/>
    <n v="-8.2263443009999992"/>
    <n v="-8.3345627909999997"/>
  </r>
  <r>
    <n v="5"/>
    <x v="4"/>
    <n v="2007"/>
    <n v="0.39041754699999998"/>
    <n v="0.39041756900000002"/>
    <n v="1410.666268041"/>
    <n v="1410.666268041"/>
    <n v="83.143259172"/>
    <n v="83.143259172"/>
    <n v="83.143259172"/>
    <m/>
    <m/>
  </r>
  <r>
    <n v="5"/>
    <x v="4"/>
    <n v="2008"/>
    <n v="0.40209382799999999"/>
    <n v="0.41568355400000001"/>
    <n v="1570.5688172099999"/>
    <n v="1745.8701357"/>
    <n v="94.069219306999997"/>
    <n v="104.56889177799999"/>
    <n v="104.56889177799999"/>
    <n v="13.141125623000001"/>
    <n v="25.769536603999999"/>
  </r>
  <r>
    <n v="5"/>
    <x v="4"/>
    <n v="2009"/>
    <n v="0.364688866"/>
    <n v="0.37964236299999998"/>
    <n v="1419.888033838"/>
    <n v="1692.2198705779999"/>
    <n v="86.378888539000002"/>
    <n v="102.946195827"/>
    <n v="102.946195827"/>
    <n v="-8.1751829399999991"/>
    <n v="-1.551796068"/>
  </r>
  <r>
    <n v="5"/>
    <x v="4"/>
    <n v="2010"/>
    <n v="0.35530118300000002"/>
    <n v="0.39407293900000001"/>
    <n v="1441.9857531109999"/>
    <n v="1878.439922993"/>
    <n v="89.059924084000002"/>
    <n v="116.016206524"/>
    <n v="116.016206524"/>
    <n v="3.1038088020000001"/>
    <n v="12.695962772"/>
  </r>
  <r>
    <n v="5"/>
    <x v="4"/>
    <n v="2011"/>
    <n v="0.335224466"/>
    <n v="0.38109210900000001"/>
    <n v="1492.8186086220001"/>
    <n v="2109.7175697130001"/>
    <n v="93.534042741999997"/>
    <n v="132.186464048"/>
    <n v="132.186464048"/>
    <n v="5.0237171260000002"/>
    <n v="13.937929887999999"/>
  </r>
  <r>
    <n v="5"/>
    <x v="4"/>
    <n v="2012"/>
    <n v="0.30666390599999999"/>
    <n v="0.36575919899999998"/>
    <n v="1479.4129011319999"/>
    <n v="2329.0037605140001"/>
    <n v="93.932363331999994"/>
    <n v="147.87543576600001"/>
    <n v="147.87543576600001"/>
    <n v="0.42585627399999998"/>
    <n v="11.868818665999999"/>
  </r>
  <r>
    <n v="5"/>
    <x v="4"/>
    <n v="2013"/>
    <n v="0.30113549499999998"/>
    <n v="0.361270178"/>
    <n v="1531.6824001580001"/>
    <n v="2558.9359631699999"/>
    <n v="98.606649556999997"/>
    <n v="164.73917943699999"/>
    <n v="164.73917943699999"/>
    <n v="4.9762255099999999"/>
    <n v="11.404019594999999"/>
  </r>
  <r>
    <n v="5"/>
    <x v="4"/>
    <n v="2014"/>
    <n v="0.28056894700000001"/>
    <n v="0.33542117900000001"/>
    <n v="1478.818976021"/>
    <n v="2565.3358112649998"/>
    <n v="96.526951022000006"/>
    <n v="167.44716440900001"/>
    <n v="167.44716440900001"/>
    <n v="-2.1090854870000002"/>
    <n v="1.64380142"/>
  </r>
  <r>
    <n v="5"/>
    <x v="4"/>
    <n v="2015"/>
    <n v="0.26224428399999999"/>
    <n v="0.32058076499999999"/>
    <n v="1441.640106675"/>
    <n v="2620.5985381249998"/>
    <n v="95.394767498999997"/>
    <n v="173.40762586599999"/>
    <n v="173.40762586599999"/>
    <n v="-1.172919595"/>
    <n v="3.559607282"/>
  </r>
  <r>
    <n v="5"/>
    <x v="4"/>
    <n v="2016"/>
    <n v="0.26388583300000001"/>
    <n v="0.32475137500000001"/>
    <n v="1501.5312361220001"/>
    <n v="2802.7905838400002"/>
    <n v="100.746739819"/>
    <n v="188.05603701300001"/>
    <n v="188.05603701300001"/>
    <n v="5.6103415950000004"/>
    <n v="8.4473857900000002"/>
  </r>
  <r>
    <n v="5"/>
    <x v="4"/>
    <n v="2017"/>
    <n v="0.26351048100000002"/>
    <n v="0.32286636800000001"/>
    <n v="1561.3343564520001"/>
    <n v="2951.800924358"/>
    <n v="106.22850561"/>
    <n v="200.83167949099999"/>
    <n v="200.83167949099999"/>
    <n v="5.4411346719999996"/>
    <n v="6.7935295670000002"/>
  </r>
  <r>
    <n v="5"/>
    <x v="4"/>
    <n v="2018"/>
    <n v="0.25609838400000001"/>
    <n v="0.30649527900000001"/>
    <n v="1551.942694935"/>
    <n v="2885.1841073639998"/>
    <n v="107.045247383"/>
    <n v="199.005573806"/>
    <n v="199.005573806"/>
    <n v="0.76885367900000001"/>
    <n v="-0.90927172899999997"/>
  </r>
  <r>
    <n v="5"/>
    <x v="4"/>
    <n v="2019"/>
    <n v="0.27035004800000001"/>
    <n v="0.32442035899999999"/>
    <n v="1664.4169054680001"/>
    <n v="3108.1743662600002"/>
    <n v="116.369372363"/>
    <n v="217.311118991"/>
    <n v="217.311118991"/>
    <n v="8.7104520819999998"/>
    <n v="9.1985087829999994"/>
  </r>
  <r>
    <n v="5"/>
    <x v="4"/>
    <n v="2020"/>
    <n v="0.32005423500000002"/>
    <n v="0.387142612"/>
    <n v="1595.8784891390001"/>
    <n v="2950.1102665240001"/>
    <n v="113.0424569"/>
    <n v="208.96811061899999"/>
    <n v="208.96811061899999"/>
    <n v="-2.8589270490000001"/>
    <n v="-3.8391999499999998"/>
  </r>
  <r>
    <n v="6"/>
    <x v="5"/>
    <n v="2007"/>
    <n v="1.4646503369999999"/>
    <n v="1.464650419"/>
    <n v="2719.5593828229999"/>
    <n v="2719.5593828229999"/>
    <n v="311.911704735"/>
    <n v="311.911704735"/>
    <n v="311.911704735"/>
    <m/>
    <m/>
  </r>
  <r>
    <n v="6"/>
    <x v="5"/>
    <n v="2008"/>
    <n v="1.4305247059999999"/>
    <n v="1.410057728"/>
    <n v="2901.5866792649999"/>
    <n v="3075.3645870340001"/>
    <n v="334.66900758600002"/>
    <n v="354.71255146800002"/>
    <n v="354.71255146800002"/>
    <n v="7.2960720950000004"/>
    <n v="13.722103430000001"/>
  </r>
  <r>
    <n v="6"/>
    <x v="5"/>
    <n v="2009"/>
    <n v="1.624816829"/>
    <n v="1.585708433"/>
    <n v="3320.2333638589998"/>
    <n v="3709.6938038650001"/>
    <n v="384.848249205"/>
    <n v="429.99060880600001"/>
    <n v="429.99060880600001"/>
    <n v="14.993692419"/>
    <n v="21.222270547000001"/>
  </r>
  <r>
    <n v="6"/>
    <x v="5"/>
    <n v="2010"/>
    <n v="1.5372498400000001"/>
    <n v="1.5675486750000001"/>
    <n v="3310.0618106450002"/>
    <n v="3964.3232840599999"/>
    <n v="385.32760543900002"/>
    <n v="461.49083782100001"/>
    <n v="461.49083782100001"/>
    <n v="0.124557208"/>
    <n v="7.3257946499999997"/>
  </r>
  <r>
    <n v="6"/>
    <x v="5"/>
    <n v="2011"/>
    <n v="1.4065008880000001"/>
    <n v="1.438163667"/>
    <n v="3359.131974975"/>
    <n v="4269.9068429019999"/>
    <n v="392.440670372"/>
    <n v="498.84467664300001"/>
    <n v="498.84467664300001"/>
    <n v="1.8459785470000001"/>
    <n v="8.0941669390000008"/>
  </r>
  <r>
    <n v="6"/>
    <x v="5"/>
    <n v="2012"/>
    <n v="1.355132419"/>
    <n v="1.368069234"/>
    <n v="3541.8702633419998"/>
    <n v="4719.6216413459997"/>
    <n v="415.08240177200003"/>
    <n v="553.10661901399999"/>
    <n v="553.10661901399999"/>
    <n v="5.7694660899999999"/>
    <n v="10.877522586"/>
  </r>
  <r>
    <n v="6"/>
    <x v="5"/>
    <n v="2013"/>
    <n v="1.349714241"/>
    <n v="1.339464464"/>
    <n v="3760.4286034400002"/>
    <n v="5196.9345306759997"/>
    <n v="441.963173762"/>
    <n v="610.79571539000005"/>
    <n v="610.79571539000005"/>
    <n v="6.4760085890000001"/>
    <n v="10.430013743"/>
  </r>
  <r>
    <n v="6"/>
    <x v="5"/>
    <n v="2014"/>
    <n v="1.4861915459999999"/>
    <n v="1.463849167"/>
    <n v="4339.5294345040002"/>
    <n v="6202.15351594"/>
    <n v="511.30939515"/>
    <n v="730.77494016900005"/>
    <n v="730.77494016900005"/>
    <n v="15.690497648999999"/>
    <n v="19.643101901000001"/>
  </r>
  <r>
    <n v="6"/>
    <x v="5"/>
    <n v="2015"/>
    <n v="1.3549750890000001"/>
    <n v="1.3192967529999999"/>
    <n v="4173.8487864930003"/>
    <n v="6043.1044695139999"/>
    <n v="492.88980319699999"/>
    <n v="713.63020680499994"/>
    <n v="713.63020680499994"/>
    <n v="-3.6024356540000002"/>
    <n v="-2.3461030780000001"/>
  </r>
  <r>
    <n v="6"/>
    <x v="5"/>
    <n v="2016"/>
    <n v="1.3398738830000001"/>
    <n v="1.2517730979999999"/>
    <n v="4322.8414039979998"/>
    <n v="6125.6524165729998"/>
    <n v="511.53911470100002"/>
    <n v="724.87295306299995"/>
    <n v="724.87295306299995"/>
    <n v="3.7836675419999999"/>
    <n v="1.5754302650000001"/>
  </r>
  <r>
    <n v="6"/>
    <x v="5"/>
    <n v="2017"/>
    <n v="1.33065236"/>
    <n v="1.235708185"/>
    <n v="4524.8331082280001"/>
    <n v="6483.6582280700004"/>
    <n v="536.42348981400005"/>
    <n v="768.64416659599999"/>
    <n v="768.64416659599999"/>
    <n v="4.8646084719999996"/>
    <n v="6.038466927"/>
  </r>
  <r>
    <n v="6"/>
    <x v="5"/>
    <n v="2018"/>
    <n v="1.335250842"/>
    <n v="1.2120701970000001"/>
    <n v="4700.4669032339998"/>
    <n v="6628.0657752979996"/>
    <n v="558.11463822200005"/>
    <n v="786.99001789600004"/>
    <n v="786.99001789600004"/>
    <n v="4.0436611779999998"/>
    <n v="2.3867807879999998"/>
  </r>
  <r>
    <n v="6"/>
    <x v="5"/>
    <n v="2019"/>
    <n v="1.3409739700000001"/>
    <n v="1.216715685"/>
    <n v="4855.9990560329998"/>
    <n v="6856.6022958000003"/>
    <n v="577.20832779499995"/>
    <n v="815.01003189000005"/>
    <n v="815.01003189000005"/>
    <n v="3.421105319"/>
    <n v="3.5604027189999998"/>
  </r>
  <r>
    <n v="6"/>
    <x v="5"/>
    <n v="2020"/>
    <n v="1.504893053"/>
    <n v="1.3744496310000001"/>
    <n v="4467.2718603849999"/>
    <n v="6235.289252695"/>
    <n v="531.52494049200004"/>
    <n v="741.887185864"/>
    <n v="741.887185864"/>
    <n v="-7.9145405750000002"/>
    <n v="-8.9720179099999999"/>
  </r>
  <r>
    <n v="7"/>
    <x v="6"/>
    <n v="2007"/>
    <n v="1.3503150429999999"/>
    <n v="1.350315119"/>
    <n v="3097.836605855"/>
    <n v="3097.836605855"/>
    <n v="287.56287861200002"/>
    <n v="287.56287861200002"/>
    <n v="287.56287861200002"/>
    <m/>
    <m/>
  </r>
  <r>
    <n v="7"/>
    <x v="6"/>
    <n v="2008"/>
    <n v="1.383249261"/>
    <n v="1.323420603"/>
    <n v="3469.742366035"/>
    <n v="3569.5560321920002"/>
    <n v="323.608991511"/>
    <n v="332.91821289799998"/>
    <n v="332.91821289799998"/>
    <n v="12.535036884"/>
    <n v="15.772318911999999"/>
  </r>
  <r>
    <n v="7"/>
    <x v="6"/>
    <n v="2009"/>
    <n v="1.149087982"/>
    <n v="1.0901199049999999"/>
    <n v="2905.8928656130001"/>
    <n v="3156.1026074820002"/>
    <n v="272.16883168599998"/>
    <n v="295.60372631899997"/>
    <n v="295.60372631899997"/>
    <n v="-15.895775820000001"/>
    <n v="-11.208304362"/>
  </r>
  <r>
    <n v="7"/>
    <x v="6"/>
    <n v="2010"/>
    <n v="1.1282415619999999"/>
    <n v="1.11917636"/>
    <n v="3008.2164995789999"/>
    <n v="3504.7892146300001"/>
    <n v="282.80544134199999"/>
    <n v="329.48873885699999"/>
    <n v="329.48873885699999"/>
    <n v="3.908092484"/>
    <n v="11.462985585"/>
  </r>
  <r>
    <n v="7"/>
    <x v="6"/>
    <n v="2011"/>
    <n v="1.071498386"/>
    <n v="1.0628595240000001"/>
    <n v="3169.8604660020001"/>
    <n v="3908.8366720560002"/>
    <n v="298.96855971100001"/>
    <n v="368.66583956199997"/>
    <n v="368.66583956199997"/>
    <n v="5.715278423"/>
    <n v="11.890270011"/>
  </r>
  <r>
    <n v="7"/>
    <x v="6"/>
    <n v="2012"/>
    <n v="1.0280603610000001"/>
    <n v="1.0248667629999999"/>
    <n v="3330.0791142469998"/>
    <n v="4381.7897913779998"/>
    <n v="314.89894120100001"/>
    <n v="414.35080625199998"/>
    <n v="414.35080625199998"/>
    <n v="5.3284470800000001"/>
    <n v="12.39197175"/>
  </r>
  <r>
    <n v="7"/>
    <x v="6"/>
    <n v="2013"/>
    <n v="1.017832957"/>
    <n v="1.005922183"/>
    <n v="3516.2613560340001"/>
    <n v="4839.3781211730002"/>
    <n v="333.28883263199998"/>
    <n v="458.70045521499998"/>
    <n v="458.70045521499998"/>
    <n v="5.8399343479999999"/>
    <n v="10.703405976999999"/>
  </r>
  <r>
    <n v="7"/>
    <x v="6"/>
    <n v="2014"/>
    <n v="1.0460757169999999"/>
    <n v="1.0187058769999999"/>
    <n v="3788.9742366370001"/>
    <n v="5354.0900742570002"/>
    <n v="359.891928893"/>
    <n v="508.55289161299999"/>
    <n v="508.55289161299999"/>
    <n v="7.981994491"/>
    <n v="10.868189868"/>
  </r>
  <r>
    <n v="7"/>
    <x v="6"/>
    <n v="2015"/>
    <n v="0.99611886599999999"/>
    <n v="0.98027227500000003"/>
    <n v="3808.2100571149999"/>
    <n v="5572.7384246969996"/>
    <n v="362.351186934"/>
    <n v="530.24606111000003"/>
    <n v="530.24606111000003"/>
    <n v="0.68333236900000005"/>
    <n v="4.2656663359999998"/>
  </r>
  <r>
    <n v="7"/>
    <x v="6"/>
    <n v="2016"/>
    <n v="0.98396567599999996"/>
    <n v="1.024030818"/>
    <n v="3942.2393649740002"/>
    <n v="6222.9659351549999"/>
    <n v="375.65993132800003"/>
    <n v="592.99264692700001"/>
    <n v="592.99264692700001"/>
    <n v="3.6728855519999999"/>
    <n v="11.833484568999999"/>
  </r>
  <r>
    <n v="7"/>
    <x v="6"/>
    <n v="2017"/>
    <n v="0.99258189500000005"/>
    <n v="1.020583104"/>
    <n v="4194.272091326"/>
    <n v="6654.338040091"/>
    <n v="400.13775178499998"/>
    <n v="634.83050336300005"/>
    <n v="634.83050336300005"/>
    <n v="6.5159519059999997"/>
    <n v="7.0553752479999998"/>
  </r>
  <r>
    <n v="7"/>
    <x v="6"/>
    <n v="2018"/>
    <n v="0.99632630600000005"/>
    <n v="1.009909041"/>
    <n v="4361.4108303479998"/>
    <n v="6867.3401462000002"/>
    <n v="416.449313136"/>
    <n v="655.72797386000002"/>
    <n v="655.72797386000002"/>
    <n v="4.0764864799999998"/>
    <n v="3.2918189010000001"/>
  </r>
  <r>
    <n v="7"/>
    <x v="6"/>
    <n v="2019"/>
    <n v="1.0001221659999999"/>
    <n v="1.0172536919999999"/>
    <n v="4505.8845115309996"/>
    <n v="7132.1075800799999"/>
    <n v="430.492206232"/>
    <n v="681.40155820099994"/>
    <n v="681.40155820099994"/>
    <n v="3.3720533700000002"/>
    <n v="3.915279714"/>
  </r>
  <r>
    <n v="7"/>
    <x v="6"/>
    <n v="2020"/>
    <n v="1.0928566850000001"/>
    <n v="1.128027031"/>
    <n v="4039.4172587889998"/>
    <n v="6371.8572971350004"/>
    <n v="385.99459499800003"/>
    <n v="608.87556774200004"/>
    <n v="608.87556774200004"/>
    <n v="-10.336449903"/>
    <n v="-10.643649047"/>
  </r>
  <r>
    <n v="8"/>
    <x v="7"/>
    <n v="2007"/>
    <n v="70.088451106999997"/>
    <n v="70.088455037000003"/>
    <n v="8525.8542661810006"/>
    <n v="8525.8542661810006"/>
    <n v="14926.025495009"/>
    <n v="14926.025495009"/>
    <n v="14926.025495009"/>
    <m/>
    <m/>
  </r>
  <r>
    <n v="8"/>
    <x v="7"/>
    <n v="2008"/>
    <n v="69.918473202000001"/>
    <n v="69.721483022000001"/>
    <n v="9139.0236387969999"/>
    <n v="9799.2764743179996"/>
    <n v="16357.316957476"/>
    <n v="17539.058610582"/>
    <n v="17539.058610582"/>
    <n v="9.5892336710000006"/>
    <n v="17.506556695"/>
  </r>
  <r>
    <n v="8"/>
    <x v="7"/>
    <n v="2009"/>
    <n v="70.227979887000004"/>
    <n v="70.552616850000007"/>
    <n v="9095.0996134479992"/>
    <n v="10460.704607408999"/>
    <n v="16633.945827137999"/>
    <n v="19131.488510149"/>
    <n v="19131.488510149"/>
    <n v="1.6911628620000001"/>
    <n v="9.0793350709999991"/>
  </r>
  <r>
    <n v="8"/>
    <x v="7"/>
    <n v="2010"/>
    <n v="70.901703014999995"/>
    <n v="70.772016715999996"/>
    <n v="9514.2187906920008"/>
    <n v="11154.097073581999"/>
    <n v="17772.246731792002"/>
    <n v="20835.485248247001"/>
    <n v="20835.485248247001"/>
    <n v="6.843240422"/>
    <n v="8.9067650809999996"/>
  </r>
  <r>
    <n v="8"/>
    <x v="7"/>
    <n v="2011"/>
    <n v="72.361765954000006"/>
    <n v="71.678037543000002"/>
    <n v="10585.062039431001"/>
    <n v="13034.470343987001"/>
    <n v="20190.317811182002"/>
    <n v="24862.404940583001"/>
    <n v="24862.404940583001"/>
    <n v="13.605882901999999"/>
    <n v="19.327218177999999"/>
  </r>
  <r>
    <s v="PIB"/>
    <x v="8"/>
    <n v="2007"/>
    <n v="100"/>
    <n v="100"/>
    <n v="6127.034272766"/>
    <n v="6127.034272766"/>
    <n v="21295.984230255999"/>
    <n v="21295.984230255999"/>
    <n v="21295.984230255999"/>
    <m/>
    <m/>
  </r>
  <r>
    <s v="PIB"/>
    <x v="8"/>
    <n v="2008"/>
    <n v="100"/>
    <n v="100"/>
    <n v="6612.4746935140001"/>
    <n v="7110.228422702"/>
    <n v="23394.842891008"/>
    <n v="25155.888616322001"/>
    <n v="25155.888616322001"/>
    <n v="9.8556546530000002"/>
    <n v="18.125034017000001"/>
  </r>
  <r>
    <s v="PIB"/>
    <x v="8"/>
    <n v="2009"/>
    <n v="100"/>
    <n v="100"/>
    <n v="6579.3441801839999"/>
    <n v="7532.3987681039998"/>
    <n v="23685.639048664001"/>
    <n v="27116.635565174001"/>
    <n v="27116.635565174001"/>
    <n v="1.242992565"/>
    <n v="7.7943855559999999"/>
  </r>
  <r>
    <s v="PIB"/>
    <x v="8"/>
    <n v="2010"/>
    <n v="100"/>
    <n v="100"/>
    <n v="6845.2118854370001"/>
    <n v="8039.7635560500003"/>
    <n v="25066.036464509001"/>
    <n v="29440.287581267999"/>
    <n v="29440.287581267999"/>
    <n v="5.8279931270000001"/>
    <n v="8.5691014669999994"/>
  </r>
  <r>
    <s v="PIB"/>
    <x v="8"/>
    <n v="2011"/>
    <n v="100"/>
    <n v="100"/>
    <n v="7492.8183030640002"/>
    <n v="9314.6862832379993"/>
    <n v="27901.914146135001"/>
    <n v="34686.224301176997"/>
    <n v="34686.224301176997"/>
    <n v="11.313626251000001"/>
    <n v="17.81890447"/>
  </r>
  <r>
    <s v="PIB"/>
    <x v="8"/>
    <n v="2012"/>
    <n v="100"/>
    <n v="100"/>
    <n v="8087.2093053250001"/>
    <n v="10674.486324365"/>
    <n v="30630.394203219999"/>
    <n v="40429.734384217998"/>
    <n v="40429.734384217998"/>
    <n v="9.7788275129999995"/>
    <n v="16.558475875999999"/>
  </r>
  <r>
    <s v="PIB"/>
    <x v="8"/>
    <n v="2013"/>
    <n v="100"/>
    <n v="100"/>
    <n v="8503.5568791919995"/>
    <n v="11841.893561849"/>
    <n v="32744.944099195"/>
    <n v="45599.994004886998"/>
    <n v="45599.994004886998"/>
    <n v="6.9034367689999998"/>
    <n v="12.788260173999999"/>
  </r>
  <r>
    <s v="PIB"/>
    <x v="8"/>
    <n v="2014"/>
    <n v="100"/>
    <n v="100"/>
    <n v="8791.6141176799993"/>
    <n v="12756.952773657"/>
    <n v="34404.003736364997"/>
    <n v="49921.464365319996"/>
    <n v="49921.464365319996"/>
    <n v="5.0666131300000004"/>
    <n v="9.4769099309999998"/>
  </r>
  <r>
    <s v="PIB"/>
    <x v="8"/>
    <n v="2015"/>
    <n v="100"/>
    <n v="100"/>
    <n v="9150.3350873769996"/>
    <n v="13606.595085538"/>
    <n v="36376.278707698999"/>
    <n v="54091.713775563003"/>
    <n v="54091.713775563003"/>
    <n v="5.7327521490000004"/>
    <n v="8.3536174610000007"/>
  </r>
  <r>
    <s v="PIB"/>
    <x v="8"/>
    <n v="2016"/>
    <n v="100"/>
    <n v="100"/>
    <n v="9456.9599595399995"/>
    <n v="14344.086849939"/>
    <n v="38178.154005942997"/>
    <n v="57907.695408938998"/>
    <n v="57907.695408938998"/>
    <n v="4.9534349369999999"/>
    <n v="7.0546534779999996"/>
  </r>
  <r>
    <s v="PIB"/>
    <x v="8"/>
    <n v="2017"/>
    <n v="100"/>
    <n v="100"/>
    <n v="9836.8696798140008"/>
    <n v="15178.300667124"/>
    <n v="40312.819925285003"/>
    <n v="62202.725204465001"/>
    <n v="62202.725204465001"/>
    <n v="5.5913282740000003"/>
    <n v="7.4170276770000001"/>
  </r>
  <r>
    <n v="8"/>
    <x v="7"/>
    <n v="2012"/>
    <n v="73.210893487999996"/>
    <n v="72.560475203999999"/>
    <n v="11505.418385632"/>
    <n v="15051.334947683001"/>
    <n v="22424.785274956001"/>
    <n v="29336.000047136"/>
    <n v="29336.000047136"/>
    <n v="11.067024722999999"/>
    <n v="17.993412613"/>
  </r>
  <r>
    <n v="8"/>
    <x v="7"/>
    <n v="2013"/>
    <n v="74.550692932999993"/>
    <n v="74.318899744999996"/>
    <n v="12266.86809951"/>
    <n v="17029.496778504999"/>
    <n v="24411.582726484001"/>
    <n v="33889.413828088997"/>
    <n v="33889.413828088997"/>
    <n v="8.8598282089999998"/>
    <n v="15.521590446999999"/>
  </r>
  <r>
    <n v="8"/>
    <x v="7"/>
    <n v="2014"/>
    <n v="70.156345216999995"/>
    <n v="70.451758214999998"/>
    <n v="16199.870214889999"/>
    <n v="23605.583752410999"/>
    <n v="24136.591629921"/>
    <n v="35170.549372310998"/>
    <n v="35170.549372310998"/>
    <n v="6.3749548149999997"/>
    <n v="11.3"/>
  </r>
  <r>
    <n v="8"/>
    <x v="7"/>
    <n v="2015"/>
    <n v="67.194852815999994"/>
    <n v="67.300728116000002"/>
    <n v="16114.954110314"/>
    <n v="24000.762388268002"/>
    <n v="24443.001244984"/>
    <n v="36404.116382900997"/>
    <n v="36404.116382900997"/>
    <n v="1.269481705"/>
    <n v="3.5073862440000001"/>
  </r>
  <r>
    <n v="8"/>
    <x v="7"/>
    <n v="2016"/>
    <n v="65.085965324"/>
    <n v="64.723442978999998"/>
    <n v="16091.737762999999"/>
    <n v="24271.608789398"/>
    <n v="24848.620077558"/>
    <n v="37479.854218455999"/>
    <n v="37479.854218455999"/>
    <n v="1.6594477430000001"/>
    <n v="2.9549895519999998"/>
  </r>
  <r>
    <n v="8"/>
    <x v="7"/>
    <n v="2017"/>
    <n v="63.27253391"/>
    <n v="62.927382277"/>
    <n v="16227.751864046"/>
    <n v="24902.848738892"/>
    <n v="25506.942657426"/>
    <n v="39142.546676277998"/>
    <n v="39142.546676277998"/>
    <n v="2.64933255"/>
    <n v="4.4362297890000004"/>
  </r>
  <r>
    <n v="8"/>
    <x v="7"/>
    <n v="2018"/>
    <n v="62.854941105000002"/>
    <n v="62.492453961000002"/>
    <n v="16427.959266034999"/>
    <n v="25371.881293687999"/>
    <n v="26272.413856207"/>
    <n v="40575.981158930997"/>
    <n v="40575.981158930997"/>
    <n v="3.0010307749999998"/>
    <n v="3.662087944"/>
  </r>
  <r>
    <n v="8"/>
    <x v="7"/>
    <n v="2019"/>
    <n v="62.391265601999997"/>
    <n v="62.127070392"/>
    <n v="16512.605788042001"/>
    <n v="25587.879668220001"/>
    <n v="26855.672725920998"/>
    <n v="41615.462207522003"/>
    <n v="41615.462207522003"/>
    <n v="2.2200429430000002"/>
    <n v="2.5618137110000001"/>
  </r>
  <r>
    <n v="8"/>
    <x v="7"/>
    <n v="2020"/>
    <n v="59.705984057000002"/>
    <n v="60.344843908999998"/>
    <n v="12731.707217341"/>
    <n v="19665.273064009001"/>
    <n v="21088.023200664"/>
    <n v="32572.358721567001"/>
    <n v="32572.358721567001"/>
    <n v="-21.476466383999998"/>
    <n v="-21.730152703000002"/>
  </r>
  <r>
    <n v="9"/>
    <x v="9"/>
    <n v="2007"/>
    <n v="2.4800248229999999"/>
    <n v="2.4800249619999999"/>
    <n v="2247.3711104190002"/>
    <n v="2247.3711104190002"/>
    <n v="528.14569517500001"/>
    <n v="528.14569517500001"/>
    <n v="528.14569517500001"/>
    <m/>
    <m/>
  </r>
  <r>
    <n v="9"/>
    <x v="9"/>
    <n v="2008"/>
    <n v="2.3820515329999998"/>
    <n v="2.3675292429999999"/>
    <n v="2356.4614582549998"/>
    <n v="2518.3962861250002"/>
    <n v="557.27721380100002"/>
    <n v="595.57301930899996"/>
    <n v="595.57301930899996"/>
    <n v="5.5158110520000001"/>
    <n v="12.766803696"/>
  </r>
  <r>
    <n v="9"/>
    <x v="9"/>
    <n v="2009"/>
    <n v="2.3858081310000001"/>
    <n v="2.3775804620000001"/>
    <n v="2375.282263783"/>
    <n v="2709.9761119250002"/>
    <n v="565.09390224799995"/>
    <n v="644.71957688400005"/>
    <n v="644.71957688400005"/>
    <n v="1.402657107"/>
    <n v="8.2519785120000009"/>
  </r>
  <r>
    <n v="9"/>
    <x v="9"/>
    <n v="2010"/>
    <n v="2.3005204090000002"/>
    <n v="2.3970627430000002"/>
    <n v="2410.1063873090002"/>
    <n v="2949.483059143"/>
    <n v="576.64928454699998"/>
    <n v="705.70216517999995"/>
    <n v="705.70216517999995"/>
    <n v="2.044860554"/>
    <n v="9.4587771929999995"/>
  </r>
  <r>
    <n v="9"/>
    <x v="9"/>
    <n v="2011"/>
    <n v="2.213256302"/>
    <n v="2.3138394039999999"/>
    <n v="2567.3959105560002"/>
    <n v="3336.7016761129998"/>
    <n v="617.54087315799995"/>
    <n v="802.583527559"/>
    <n v="802.583527559"/>
    <n v="7.0912406739999998"/>
    <n v="13.728364055"/>
  </r>
  <r>
    <n v="9"/>
    <x v="9"/>
    <n v="2012"/>
    <n v="2.1103907999999998"/>
    <n v="2.2031970620000001"/>
    <n v="2676.0821398640001"/>
    <n v="3687.5514777950002"/>
    <n v="646.42102129499995"/>
    <n v="890.74649721900005"/>
    <n v="890.74649721900005"/>
    <n v="4.6766375140000003"/>
    <n v="10.984896479"/>
  </r>
  <r>
    <n v="9"/>
    <x v="9"/>
    <n v="2013"/>
    <n v="2.375263903"/>
    <n v="2.4894339310000002"/>
    <n v="3206.8196756580001"/>
    <n v="4680.4090197269998"/>
    <n v="777.77883731500003"/>
    <n v="1135.1817232359999"/>
    <n v="1135.1817232359999"/>
    <n v="20.320783466999998"/>
    <n v="27.441615182"/>
  </r>
  <r>
    <n v="9"/>
    <x v="9"/>
    <n v="2014"/>
    <n v="2.111824119"/>
    <n v="2.2181604660000001"/>
    <n v="2983.8969361019999"/>
    <n v="4547.7581788179996"/>
    <n v="726.55204886800004"/>
    <n v="1107.3381867190001"/>
    <n v="1107.3381867190001"/>
    <n v="-6.5862923990000004"/>
    <n v="-2.4527823120000001"/>
  </r>
  <r>
    <n v="9"/>
    <x v="9"/>
    <n v="2015"/>
    <n v="2.1042548860000001"/>
    <n v="2.1987387790000001"/>
    <n v="3131.7638851920001"/>
    <n v="4866.0493820669999"/>
    <n v="765.45006999899999"/>
    <n v="1189.335459718"/>
    <n v="1189.335459718"/>
    <n v="5.3537831450000004"/>
    <n v="7.4048988810000003"/>
  </r>
  <r>
    <n v="9"/>
    <x v="9"/>
    <n v="2016"/>
    <n v="2.0818514810000002"/>
    <n v="2.251543694"/>
    <n v="3240.3763164960001"/>
    <n v="5315.540616196"/>
    <n v="794.81246441600001"/>
    <n v="1303.817064503"/>
    <n v="1303.817064503"/>
    <n v="3.8359646920000001"/>
    <n v="9.6256782600000008"/>
  </r>
  <r>
    <n v="9"/>
    <x v="9"/>
    <n v="2017"/>
    <n v="2.0495852160000001"/>
    <n v="2.2044926469999999"/>
    <n v="3357.0706982010001"/>
    <n v="5571.4648624789997"/>
    <n v="826.24559731199997"/>
    <n v="1371.254503418"/>
    <n v="1371.254503418"/>
    <n v="3.9547861040000001"/>
    <n v="5.1723083509999999"/>
  </r>
  <r>
    <n v="9"/>
    <x v="9"/>
    <n v="2018"/>
    <n v="2.054285358"/>
    <n v="2.1724032709999999"/>
    <n v="3477.7790958360001"/>
    <n v="5712.978219783"/>
    <n v="858.66018098300003"/>
    <n v="1410.5286094860001"/>
    <n v="1410.5286094860001"/>
    <n v="3.923117264"/>
    <n v="2.8641004259999998"/>
  </r>
  <r>
    <n v="9"/>
    <x v="9"/>
    <n v="2019"/>
    <n v="2.127655936"/>
    <n v="2.2521166670000001"/>
    <n v="3698.161130939"/>
    <n v="6091.6777647480003"/>
    <n v="915.82741510999995"/>
    <n v="1508.5674483729999"/>
    <n v="1508.5674483729999"/>
    <n v="6.6577250689999996"/>
    <n v="6.9505033950000001"/>
  </r>
  <r>
    <n v="9"/>
    <x v="9"/>
    <n v="2020"/>
    <n v="2.3778139770000002"/>
    <n v="2.5439381980000002"/>
    <n v="3382.0143153590002"/>
    <n v="5529.6182926780002"/>
    <n v="839.83870486199999"/>
    <n v="1373.1424625290001"/>
    <n v="1373.1424625290001"/>
    <n v="-8.2972740270000003"/>
    <n v="-8.9770587309999996"/>
  </r>
  <r>
    <n v="13"/>
    <x v="10"/>
    <n v="2014"/>
    <n v="5.3226899960000003"/>
    <n v="5.1262781239999997"/>
    <n v="3390.944360732"/>
    <n v="4738.8175272569997"/>
    <n v="1831.218465015"/>
    <n v="2559.11310688"/>
    <n v="2559.11310688"/>
    <n v="0"/>
    <n v="0"/>
  </r>
  <r>
    <n v="13"/>
    <x v="10"/>
    <n v="2015"/>
    <n v="6.9631323680000001"/>
    <n v="6.7619040730000002"/>
    <n v="4580.4925287830001"/>
    <n v="6614.3739086409996"/>
    <n v="2532.9299195519998"/>
    <n v="3657.6297127480002"/>
    <n v="3657.6297127480002"/>
    <n v="38.319374119000003"/>
    <n v="42.925676201000002"/>
  </r>
  <r>
    <n v="13"/>
    <x v="10"/>
    <n v="2016"/>
    <n v="6.6664989099999996"/>
    <n v="6.5434784749999997"/>
    <n v="4505.4730310539999"/>
    <n v="6707.6843280390003"/>
    <n v="2545.1462207149998"/>
    <n v="3789.1775845930001"/>
    <n v="3789.1775845930001"/>
    <n v="0.482299217"/>
    <n v="3.5965333340000001"/>
  </r>
  <r>
    <n v="13"/>
    <x v="10"/>
    <n v="2017"/>
    <n v="6.2011800360000002"/>
    <n v="6.061903526"/>
    <n v="4337.6281684249998"/>
    <n v="6542.6431619699997"/>
    <n v="2499.870541283"/>
    <n v="3770.6691923929998"/>
    <n v="3770.6691923929998"/>
    <n v="-1.77890288"/>
    <n v="-0.48845407200000002"/>
  </r>
  <r>
    <n v="13"/>
    <x v="10"/>
    <n v="2018"/>
    <n v="5.863845564"/>
    <n v="5.72796767"/>
    <n v="4171.9339437369999"/>
    <n v="6330.4758463369999"/>
    <n v="2450.998676144"/>
    <n v="3719.1355682950002"/>
    <n v="3719.1355682950002"/>
    <n v="-1.954975841"/>
    <n v="-1.3666970359999999"/>
  </r>
  <r>
    <n v="13"/>
    <x v="10"/>
    <n v="2019"/>
    <n v="6.2036014479999997"/>
    <n v="6.0825157179999998"/>
    <n v="4461.5094331689997"/>
    <n v="6807.4235693840001"/>
    <n v="2670.2758568839999"/>
    <n v="4074.3383102060002"/>
    <n v="4074.3383102060002"/>
    <n v="8.9464422349999992"/>
    <n v="9.5506801350000003"/>
  </r>
  <r>
    <n v="13"/>
    <x v="10"/>
    <n v="2020"/>
    <n v="6.4625700439999996"/>
    <n v="6.532777286"/>
    <n v="3763.7653863199998"/>
    <n v="5814.4168472049996"/>
    <n v="2282.5656286570002"/>
    <n v="3526.1996123220001"/>
    <n v="3526.1996123220001"/>
    <n v="-14.519482219"/>
    <n v="-13.453440930999999"/>
  </r>
  <r>
    <s v="PIB"/>
    <x v="8"/>
    <n v="2018"/>
    <n v="100"/>
    <n v="100"/>
    <n v="10050.65331761"/>
    <n v="15612.598496353001"/>
    <n v="41798.486156170002"/>
    <n v="64929.409212457002"/>
    <n v="64929.409212457002"/>
    <n v="3.6853443490000002"/>
    <n v="4.3835442889999996"/>
  </r>
  <r>
    <s v="PIB"/>
    <x v="8"/>
    <n v="2019"/>
    <n v="100"/>
    <n v="100"/>
    <n v="10202.872970410999"/>
    <n v="15877.571852125"/>
    <n v="43043.962110555003"/>
    <n v="66984.427150321004"/>
    <n v="66984.427150321004"/>
    <n v="2.9797154610000001"/>
    <n v="3.16500329"/>
  </r>
  <r>
    <s v="PIB"/>
    <x v="8"/>
    <n v="2020"/>
    <n v="100"/>
    <n v="100"/>
    <n v="8255.1786022209999"/>
    <n v="12615.878694675999"/>
    <n v="35319.781649604003"/>
    <n v="53977.036995173003"/>
    <n v="53977.036995173003"/>
    <n v="-17.944863999999999"/>
    <n v="-19.4185286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">
  <r>
    <n v="1"/>
    <x v="0"/>
    <x v="0"/>
    <x v="0"/>
    <n v="1.2338873100000001"/>
    <x v="0"/>
    <n v="2140.6448132790001"/>
    <n v="262.76843212"/>
    <n v="262.76843212"/>
    <n v="262.76843212"/>
    <m/>
    <m/>
  </r>
  <r>
    <n v="1"/>
    <x v="0"/>
    <x v="1"/>
    <x v="1"/>
    <n v="1.653182583"/>
    <x v="1"/>
    <n v="3281.9278490070001"/>
    <n v="376.666177129"/>
    <n v="415.87276931500003"/>
    <n v="415.87276931500003"/>
    <n v="43.345292313000002"/>
    <n v="58.265879185000003"/>
  </r>
  <r>
    <n v="1"/>
    <x v="0"/>
    <x v="2"/>
    <x v="2"/>
    <n v="1.5615539860000001"/>
    <x v="2"/>
    <n v="3238.6020278579999"/>
    <n v="365.91188445900002"/>
    <n v="423.44073793799998"/>
    <n v="423.44073793799998"/>
    <n v="-2.855125658"/>
    <n v="1.819779794"/>
  </r>
  <r>
    <n v="1"/>
    <x v="0"/>
    <x v="3"/>
    <x v="3"/>
    <n v="1.4206835069999999"/>
    <x v="3"/>
    <n v="3102.1940290880002"/>
    <n v="339.69067538899998"/>
    <n v="418.25330997200001"/>
    <n v="418.25330997200001"/>
    <n v="-7.1659900060000004"/>
    <n v="-1.2250658720000001"/>
  </r>
  <r>
    <n v="1"/>
    <x v="0"/>
    <x v="4"/>
    <x v="4"/>
    <n v="1.423501294"/>
    <x v="4"/>
    <n v="3552.8354044610001"/>
    <n v="354.12836715399999"/>
    <n v="493.75885317000001"/>
    <n v="493.75885317000001"/>
    <n v="4.2502467130000001"/>
    <n v="18.052587127999999"/>
  </r>
  <r>
    <n v="1"/>
    <x v="0"/>
    <x v="5"/>
    <x v="5"/>
    <n v="1.3141351859999999"/>
    <x v="5"/>
    <n v="3709.3752238679999"/>
    <n v="369.45342455000002"/>
    <n v="531.30123206500002"/>
    <n v="531.30123206500002"/>
    <n v="4.3275430090000002"/>
    <n v="7.6033834440000003"/>
  </r>
  <r>
    <n v="1"/>
    <x v="0"/>
    <x v="6"/>
    <x v="6"/>
    <n v="1.332862486"/>
    <x v="6"/>
    <n v="4118.5952098369999"/>
    <n v="414.712531017"/>
    <n v="607.78521371099998"/>
    <n v="607.78521371099998"/>
    <n v="12.250287440999999"/>
    <n v="14.395596514999999"/>
  </r>
  <r>
    <n v="1"/>
    <x v="0"/>
    <x v="7"/>
    <x v="7"/>
    <n v="1.262574428"/>
    <x v="7"/>
    <n v="4146.5727415680003"/>
    <n v="436.17341733400002"/>
    <n v="630.29564300899995"/>
    <n v="630.29564300899995"/>
    <n v="5.1748825299999996"/>
    <n v="3.703681628"/>
  </r>
  <r>
    <n v="1"/>
    <x v="0"/>
    <x v="8"/>
    <x v="8"/>
    <n v="1.2744715390000001"/>
    <x v="8"/>
    <n v="4405.6255913269997"/>
    <n v="481.143681453"/>
    <n v="689.38348127999996"/>
    <n v="689.38348127999996"/>
    <n v="10.310179926"/>
    <n v="9.3746226749999995"/>
  </r>
  <r>
    <n v="1"/>
    <x v="0"/>
    <x v="9"/>
    <x v="9"/>
    <n v="1.287107894"/>
    <x v="9"/>
    <n v="4629.5794789780002"/>
    <n v="500.42763724500003"/>
    <n v="745.33451863899995"/>
    <n v="745.33451863899995"/>
    <n v="4.0079411900000004"/>
    <n v="8.1160977709999997"/>
  </r>
  <r>
    <n v="1"/>
    <x v="0"/>
    <x v="10"/>
    <x v="10"/>
    <n v="1.2673509080000001"/>
    <x v="10"/>
    <n v="4759.7952121839999"/>
    <n v="526.37428622300001"/>
    <n v="788.32680263199995"/>
    <n v="788.32680263199995"/>
    <n v="5.1848952869999998"/>
    <n v="5.768186354"/>
  </r>
  <r>
    <n v="1"/>
    <x v="0"/>
    <x v="11"/>
    <x v="11"/>
    <n v="1.3087777140000001"/>
    <x v="11"/>
    <n v="4989.3238459450004"/>
    <n v="567.98439558899997"/>
    <n v="849.78163744100004"/>
    <n v="849.78163744100004"/>
    <n v="7.9050421829999999"/>
    <n v="7.7956038789999997"/>
  </r>
  <r>
    <n v="1"/>
    <x v="0"/>
    <x v="12"/>
    <x v="12"/>
    <n v="1.160151004"/>
    <x v="12"/>
    <n v="4437.6202982790001"/>
    <n v="582.26417707799999"/>
    <n v="777.12050425500001"/>
    <n v="777.12050425500001"/>
    <n v="2.5141151060000002"/>
    <n v="-8.5505652259999998"/>
  </r>
  <r>
    <n v="1"/>
    <x v="0"/>
    <x v="13"/>
    <x v="13"/>
    <n v="1.5660634680000001"/>
    <x v="13"/>
    <n v="4696.4534567350001"/>
    <n v="637.262194572"/>
    <n v="845.314657678"/>
    <n v="845.314657678"/>
    <n v="9.4455437339999992"/>
    <n v="8.7752353779999996"/>
  </r>
  <r>
    <n v="2"/>
    <x v="1"/>
    <x v="0"/>
    <x v="14"/>
    <n v="3.163937373"/>
    <x v="14"/>
    <n v="2849.4467072309999"/>
    <n v="673.79156617900003"/>
    <n v="673.79156617900003"/>
    <n v="673.79156617900003"/>
    <m/>
    <m/>
  </r>
  <r>
    <n v="2"/>
    <x v="1"/>
    <x v="1"/>
    <x v="15"/>
    <n v="3.0229085809999998"/>
    <x v="15"/>
    <n v="3178.0320775320001"/>
    <n v="703.90530403800005"/>
    <n v="760.43951551199996"/>
    <n v="760.43951551199996"/>
    <n v="4.469295754"/>
    <n v="12.859755699000001"/>
  </r>
  <r>
    <n v="2"/>
    <x v="1"/>
    <x v="2"/>
    <x v="16"/>
    <n v="2.8239786599999999"/>
    <x v="16"/>
    <n v="3163.5711369370001"/>
    <n v="658.07940865600006"/>
    <n v="765.76770226500003"/>
    <n v="765.76770226500003"/>
    <n v="-6.51023584"/>
    <n v="0.70067199899999999"/>
  </r>
  <r>
    <n v="2"/>
    <x v="1"/>
    <x v="3"/>
    <x v="17"/>
    <n v="2.9450513570000001"/>
    <x v="17"/>
    <n v="3542.4324175699999"/>
    <n v="692.50887995999994"/>
    <n v="867.03158879499995"/>
    <n v="867.03158879499995"/>
    <n v="5.2318110630000003"/>
    <n v="13.223838799999999"/>
  </r>
  <r>
    <n v="2"/>
    <x v="1"/>
    <x v="4"/>
    <x v="18"/>
    <n v="2.800592387"/>
    <x v="18"/>
    <n v="3926.3402180869998"/>
    <n v="733.95869480199997"/>
    <n v="971.41975969700002"/>
    <n v="971.41975969700002"/>
    <n v="5.9854560770000003"/>
    <n v="12.039719458"/>
  </r>
  <r>
    <n v="2"/>
    <x v="1"/>
    <x v="5"/>
    <x v="19"/>
    <n v="2.737527483"/>
    <x v="19"/>
    <n v="4430.2358583080004"/>
    <n v="782.52381558499997"/>
    <n v="1106.77481283"/>
    <n v="1106.77481283"/>
    <n v="6.6168738280000001"/>
    <n v="13.933734802"/>
  </r>
  <r>
    <n v="2"/>
    <x v="1"/>
    <x v="6"/>
    <x v="20"/>
    <n v="2.8482255799999998"/>
    <x v="20"/>
    <n v="5149.1703847930003"/>
    <n v="870.83986077199995"/>
    <n v="1298.7906936679999"/>
    <n v="1298.7906936679999"/>
    <n v="11.286052056999999"/>
    <n v="17.349137206000002"/>
  </r>
  <r>
    <n v="2"/>
    <x v="1"/>
    <x v="7"/>
    <x v="21"/>
    <n v="2.9379506470000001"/>
    <x v="21"/>
    <n v="5760.652886416"/>
    <n v="936.32849087499994"/>
    <n v="1466.6679855340001"/>
    <n v="1466.6679855340001"/>
    <n v="7.5201690980000002"/>
    <n v="12.925661746999999"/>
  </r>
  <r>
    <n v="2"/>
    <x v="1"/>
    <x v="8"/>
    <x v="22"/>
    <n v="2.798949538"/>
    <x v="22"/>
    <n v="5891.7373153380004"/>
    <n v="941.25473600999999"/>
    <n v="1513.9997379230001"/>
    <n v="1513.9997379230001"/>
    <n v="0.526123597"/>
    <n v="3.227162034"/>
  </r>
  <r>
    <n v="2"/>
    <x v="1"/>
    <x v="9"/>
    <x v="23"/>
    <n v="2.7510089369999999"/>
    <x v="23"/>
    <n v="6143.1188867740002"/>
    <n v="931.74020311499999"/>
    <n v="1593.0458759559999"/>
    <n v="1593.0458759559999"/>
    <n v="-1.010835062"/>
    <n v="5.2210139839999998"/>
  </r>
  <r>
    <n v="2"/>
    <x v="1"/>
    <x v="10"/>
    <x v="24"/>
    <n v="2.676419664"/>
    <x v="24"/>
    <n v="6371.0242238150004"/>
    <n v="961.61163188099999"/>
    <n v="1664.8059689009999"/>
    <n v="1664.8059689009999"/>
    <n v="3.2059825970000002"/>
    <n v="4.5045842069999997"/>
  </r>
  <r>
    <n v="2"/>
    <x v="1"/>
    <x v="11"/>
    <x v="25"/>
    <n v="2.6777979410000001"/>
    <x v="25"/>
    <n v="6604.5658681929999"/>
    <n v="1012.473989317"/>
    <n v="1738.6783830649999"/>
    <n v="1738.6783830649999"/>
    <n v="5.2892826739999999"/>
    <n v="4.4372987330000004"/>
  </r>
  <r>
    <n v="2"/>
    <x v="1"/>
    <x v="12"/>
    <x v="26"/>
    <n v="2.7497831370000001"/>
    <x v="26"/>
    <n v="6946.7600571450002"/>
    <n v="1068.9887315880001"/>
    <n v="1841.926482392"/>
    <n v="1841.926482392"/>
    <n v="5.5818463349999998"/>
    <n v="5.938309254"/>
  </r>
  <r>
    <n v="2"/>
    <x v="1"/>
    <x v="13"/>
    <x v="27"/>
    <n v="2.9429458149999999"/>
    <x v="27"/>
    <n v="5950.1850451600003"/>
    <n v="925.29802088999998"/>
    <n v="1588.5149513209999"/>
    <n v="1588.5149513209999"/>
    <n v="-13.441742316999999"/>
    <n v="-13.757961216"/>
  </r>
  <r>
    <n v="3"/>
    <x v="2"/>
    <x v="0"/>
    <x v="28"/>
    <n v="13.431748301000001"/>
    <x v="28"/>
    <n v="10239.969498390001"/>
    <n v="2860.4228397110001"/>
    <n v="2860.4228397110001"/>
    <n v="2860.4228397110001"/>
    <m/>
    <m/>
  </r>
  <r>
    <n v="3"/>
    <x v="2"/>
    <x v="1"/>
    <x v="29"/>
    <n v="13.759107082"/>
    <x v="29"/>
    <n v="12182.910023476001"/>
    <n v="3166.8994253189999"/>
    <n v="3461.22565222"/>
    <n v="3461.22565222"/>
    <n v="10.714380453"/>
    <n v="21.00398599"/>
  </r>
  <r>
    <n v="3"/>
    <x v="2"/>
    <x v="2"/>
    <x v="30"/>
    <n v="13.131052956"/>
    <x v="30"/>
    <n v="12325.574993968001"/>
    <n v="3097.0958278140001"/>
    <n v="3560.6983832820001"/>
    <n v="3560.6983832820001"/>
    <n v="-2.2041621199999999"/>
    <n v="2.8739163830000001"/>
  </r>
  <r>
    <n v="3"/>
    <x v="2"/>
    <x v="3"/>
    <x v="31"/>
    <n v="13.041557477"/>
    <x v="31"/>
    <n v="13072.234114588"/>
    <n v="3269.9236978509998"/>
    <n v="3839.4720262639999"/>
    <n v="3839.4720262639999"/>
    <n v="5.580320392"/>
    <n v="7.8291844179999996"/>
  </r>
  <r>
    <n v="3"/>
    <x v="2"/>
    <x v="4"/>
    <x v="32"/>
    <n v="13.393049512999999"/>
    <x v="32"/>
    <n v="15560.821483711999"/>
    <n v="3619.913825477"/>
    <n v="4645.5432065690002"/>
    <n v="4645.5432065690002"/>
    <n v="10.703311758"/>
    <n v="20.994323562999998"/>
  </r>
  <r>
    <n v="3"/>
    <x v="2"/>
    <x v="5"/>
    <x v="33"/>
    <n v="12.982758295"/>
    <x v="33"/>
    <n v="17288.332625188999"/>
    <n v="3810.209194135"/>
    <n v="5248.893380001"/>
    <n v="5248.893380001"/>
    <n v="5.2569032809999996"/>
    <n v="12.98772063"/>
  </r>
  <r>
    <n v="3"/>
    <x v="2"/>
    <x v="6"/>
    <x v="34"/>
    <n v="11.093866237"/>
    <x v="34"/>
    <n v="16385.580963914999"/>
    <n v="3575.4557514329999"/>
    <n v="5058.8023388940001"/>
    <n v="5058.8023388940001"/>
    <n v="-6.1611693939999999"/>
    <n v="-3.6215451019999998"/>
  </r>
  <r>
    <n v="3"/>
    <x v="2"/>
    <x v="7"/>
    <x v="35"/>
    <n v="10.192145582"/>
    <x v="35"/>
    <n v="16206.723167213"/>
    <n v="3497.9581283970001"/>
    <n v="5088.0683249000003"/>
    <n v="5088.0683249000003"/>
    <n v="-2.1674893609999999"/>
    <n v="0.57851609999999998"/>
  </r>
  <r>
    <n v="3"/>
    <x v="2"/>
    <x v="8"/>
    <x v="36"/>
    <n v="11.826457426999999"/>
    <x v="36"/>
    <n v="20044.849624252001"/>
    <n v="4371.9205396349998"/>
    <n v="6397.1333539329999"/>
    <n v="6397.1333539329999"/>
    <n v="24.984930613"/>
    <n v="25.728133849999999"/>
  </r>
  <r>
    <n v="3"/>
    <x v="2"/>
    <x v="9"/>
    <x v="37"/>
    <n v="14.523892562"/>
    <x v="37"/>
    <n v="25928.733617645001"/>
    <n v="5605.6932830160004"/>
    <n v="8410.4514660879995"/>
    <n v="8410.4514660879995"/>
    <n v="28.220383517999998"/>
    <n v="31.472192321000001"/>
  </r>
  <r>
    <n v="3"/>
    <x v="2"/>
    <x v="10"/>
    <x v="38"/>
    <n v="17.069455076000001"/>
    <x v="38"/>
    <n v="32207.930094173"/>
    <n v="6919.1801987830004"/>
    <n v="10617.666234845001"/>
    <n v="10617.666234845001"/>
    <n v="23.431301883"/>
    <n v="26.243713284999998"/>
  </r>
  <r>
    <n v="3"/>
    <x v="2"/>
    <x v="11"/>
    <x v="39"/>
    <n v="17.839231397999999"/>
    <x v="39"/>
    <n v="34575.843446952997"/>
    <n v="7422.1526992460003"/>
    <n v="11582.907554728999"/>
    <n v="11582.907554728999"/>
    <n v="7.2692499110000002"/>
    <n v="9.0908990589999998"/>
  </r>
  <r>
    <n v="3"/>
    <x v="2"/>
    <x v="12"/>
    <x v="40"/>
    <n v="17.807669778000001"/>
    <x v="40"/>
    <n v="35049.718622492997"/>
    <n v="7624.1281504250001"/>
    <n v="11928.365589637"/>
    <n v="11928.365589637"/>
    <n v="2.7212516280000001"/>
    <n v="2.9824811539999998"/>
  </r>
  <r>
    <n v="3"/>
    <x v="2"/>
    <x v="13"/>
    <x v="41"/>
    <n v="17.193679643999999"/>
    <x v="41"/>
    <n v="26847.097277433"/>
    <n v="5979.4039165209997"/>
    <n v="9280.6388223489994"/>
    <n v="9280.6388223489994"/>
    <n v="-21.572620521000001"/>
    <n v="-22.19689485"/>
  </r>
  <r>
    <n v="4"/>
    <x v="3"/>
    <x v="0"/>
    <x v="42"/>
    <n v="6.3965639120000004"/>
    <x v="42"/>
    <n v="2328.3909682459998"/>
    <n v="1362.2111656259999"/>
    <n v="1362.2111656259999"/>
    <n v="1362.2111656259999"/>
    <m/>
    <m/>
  </r>
  <r>
    <n v="4"/>
    <x v="3"/>
    <x v="1"/>
    <x v="43"/>
    <n v="6.3266276039999996"/>
    <x v="43"/>
    <n v="2683.5587335999999"/>
    <n v="1480.430182888"/>
    <n v="1591.5193932249999"/>
    <n v="1591.5193932249999"/>
    <n v="8.6784648549999996"/>
    <n v="16.833530174"/>
  </r>
  <r>
    <n v="4"/>
    <x v="3"/>
    <x v="2"/>
    <x v="44"/>
    <n v="6.497746384"/>
    <x v="44"/>
    <n v="2931.2224137349999"/>
    <n v="1623.7056218969999"/>
    <n v="1761.9695177860001"/>
    <n v="1761.9695177860001"/>
    <n v="9.6779598700000005"/>
    <n v="10.709899312999999"/>
  </r>
  <r>
    <n v="4"/>
    <x v="3"/>
    <x v="3"/>
    <x v="45"/>
    <n v="6.3428302270000003"/>
    <x v="45"/>
    <n v="3065.607654893"/>
    <n v="1655.1785672809999"/>
    <n v="1867.347459609"/>
    <n v="1867.347459609"/>
    <n v="1.9383406059999999"/>
    <n v="5.9806904010000004"/>
  </r>
  <r>
    <n v="4"/>
    <x v="3"/>
    <x v="4"/>
    <x v="46"/>
    <n v="5.508864559"/>
    <x v="46"/>
    <n v="3096.3160231520001"/>
    <n v="1594.5621418129999"/>
    <n v="1910.817122104"/>
    <n v="1910.817122104"/>
    <n v="-3.6622287569999998"/>
    <n v="2.3278829160000001"/>
  </r>
  <r>
    <n v="4"/>
    <x v="3"/>
    <x v="5"/>
    <x v="47"/>
    <n v="5.4432115740000002"/>
    <x v="47"/>
    <n v="3521.1877324739999"/>
    <n v="1758.334629232"/>
    <n v="2200.6754302290001"/>
    <n v="2200.6754302290001"/>
    <n v="10.270687050999999"/>
    <n v="15.169338015999999"/>
  </r>
  <r>
    <n v="4"/>
    <x v="3"/>
    <x v="6"/>
    <x v="48"/>
    <n v="5.2100551959999999"/>
    <x v="48"/>
    <n v="3753.6771628219999"/>
    <n v="1805.654254522"/>
    <n v="2375.7848572470002"/>
    <n v="2375.7848572470002"/>
    <n v="2.69116154"/>
    <n v="7.9570764780000003"/>
  </r>
  <r>
    <n v="4"/>
    <x v="3"/>
    <x v="7"/>
    <x v="49"/>
    <n v="4.9931563140000002"/>
    <x v="49"/>
    <n v="3887.5416994550001"/>
    <n v="1863.6101372380001"/>
    <n v="2492.6567498149998"/>
    <n v="2492.6567498149998"/>
    <n v="3.2096888190000001"/>
    <n v="4.9192961310000003"/>
  </r>
  <r>
    <n v="4"/>
    <x v="3"/>
    <x v="8"/>
    <x v="50"/>
    <n v="5.2186007339999998"/>
    <x v="50"/>
    <n v="4348.0538974589999"/>
    <n v="2073.87187864"/>
    <n v="2822.8305071459999"/>
    <n v="2822.8305071459999"/>
    <n v="11.282496118999999"/>
    <n v="13.245857351"/>
  </r>
  <r>
    <n v="4"/>
    <x v="3"/>
    <x v="9"/>
    <x v="51"/>
    <n v="5.3189701679999999"/>
    <x v="51"/>
    <n v="4686.2056934169996"/>
    <n v="2168.8525817049999"/>
    <n v="3080.0930437010002"/>
    <n v="3080.0930437010002"/>
    <n v="4.5798732329999998"/>
    <n v="9.1136373899999992"/>
  </r>
  <r>
    <n v="4"/>
    <x v="3"/>
    <x v="10"/>
    <x v="52"/>
    <n v="5.2138382459999999"/>
    <x v="52"/>
    <n v="4874.7027313110002"/>
    <n v="2250.6443071200001"/>
    <n v="3243.1494765470002"/>
    <n v="3243.1494765470002"/>
    <n v="3.7711980110000001"/>
    <n v="5.2938801050000004"/>
  </r>
  <r>
    <n v="4"/>
    <x v="3"/>
    <x v="11"/>
    <x v="53"/>
    <n v="5.2528935289999996"/>
    <x v="53"/>
    <n v="5065.1022918360004"/>
    <n v="2357.4131494049998"/>
    <n v="3410.6727349470002"/>
    <n v="3410.6727349470002"/>
    <n v="4.7439234160000003"/>
    <n v="5.165449808"/>
  </r>
  <r>
    <n v="4"/>
    <x v="3"/>
    <x v="12"/>
    <x v="54"/>
    <n v="5.2623035659999999"/>
    <x v="54"/>
    <n v="5173.3800716409996"/>
    <n v="2431.566168539"/>
    <n v="3524.9238988530001"/>
    <n v="3524.9238988530001"/>
    <n v="3.1455249649999999"/>
    <n v="3.349813154"/>
  </r>
  <r>
    <n v="4"/>
    <x v="3"/>
    <x v="13"/>
    <x v="55"/>
    <n v="5.9861324060000003"/>
    <x v="55"/>
    <n v="4687.1478125109998"/>
    <n v="2231.5371636129998"/>
    <n v="3231.13690318"/>
    <n v="3231.13690318"/>
    <n v="-8.2263443009999992"/>
    <n v="-8.3345627909999997"/>
  </r>
  <r>
    <n v="5"/>
    <x v="4"/>
    <x v="0"/>
    <x v="56"/>
    <n v="0.39041756900000002"/>
    <x v="56"/>
    <n v="1410.666268041"/>
    <n v="83.143259172"/>
    <n v="83.143259172"/>
    <n v="83.143259172"/>
    <m/>
    <m/>
  </r>
  <r>
    <n v="5"/>
    <x v="4"/>
    <x v="1"/>
    <x v="57"/>
    <n v="0.41568355400000001"/>
    <x v="57"/>
    <n v="1745.8701357"/>
    <n v="94.069219306999997"/>
    <n v="104.56889177799999"/>
    <n v="104.56889177799999"/>
    <n v="13.141125623000001"/>
    <n v="25.769536603999999"/>
  </r>
  <r>
    <n v="5"/>
    <x v="4"/>
    <x v="2"/>
    <x v="58"/>
    <n v="0.37964236299999998"/>
    <x v="58"/>
    <n v="1692.2198705779999"/>
    <n v="86.378888539000002"/>
    <n v="102.946195827"/>
    <n v="102.946195827"/>
    <n v="-8.1751829399999991"/>
    <n v="-1.551796068"/>
  </r>
  <r>
    <n v="5"/>
    <x v="4"/>
    <x v="3"/>
    <x v="59"/>
    <n v="0.39407293900000001"/>
    <x v="59"/>
    <n v="1878.439922993"/>
    <n v="89.059924084000002"/>
    <n v="116.016206524"/>
    <n v="116.016206524"/>
    <n v="3.1038088020000001"/>
    <n v="12.695962772"/>
  </r>
  <r>
    <n v="5"/>
    <x v="4"/>
    <x v="4"/>
    <x v="60"/>
    <n v="0.38109210900000001"/>
    <x v="60"/>
    <n v="2109.7175697130001"/>
    <n v="93.534042741999997"/>
    <n v="132.186464048"/>
    <n v="132.186464048"/>
    <n v="5.0237171260000002"/>
    <n v="13.937929887999999"/>
  </r>
  <r>
    <n v="5"/>
    <x v="4"/>
    <x v="5"/>
    <x v="61"/>
    <n v="0.36575919899999998"/>
    <x v="61"/>
    <n v="2329.0037605140001"/>
    <n v="93.932363331999994"/>
    <n v="147.87543576600001"/>
    <n v="147.87543576600001"/>
    <n v="0.42585627399999998"/>
    <n v="11.868818665999999"/>
  </r>
  <r>
    <n v="5"/>
    <x v="4"/>
    <x v="6"/>
    <x v="62"/>
    <n v="0.361270178"/>
    <x v="62"/>
    <n v="2558.9359631699999"/>
    <n v="98.606649556999997"/>
    <n v="164.73917943699999"/>
    <n v="164.73917943699999"/>
    <n v="4.9762255099999999"/>
    <n v="11.404019594999999"/>
  </r>
  <r>
    <n v="5"/>
    <x v="4"/>
    <x v="7"/>
    <x v="63"/>
    <n v="0.33542117900000001"/>
    <x v="63"/>
    <n v="2565.3358112649998"/>
    <n v="96.526951022000006"/>
    <n v="167.44716440900001"/>
    <n v="167.44716440900001"/>
    <n v="-2.1090854870000002"/>
    <n v="1.64380142"/>
  </r>
  <r>
    <n v="5"/>
    <x v="4"/>
    <x v="8"/>
    <x v="64"/>
    <n v="0.32058076499999999"/>
    <x v="64"/>
    <n v="2620.5985381249998"/>
    <n v="95.394767498999997"/>
    <n v="173.40762586599999"/>
    <n v="173.40762586599999"/>
    <n v="-1.172919595"/>
    <n v="3.559607282"/>
  </r>
  <r>
    <n v="5"/>
    <x v="4"/>
    <x v="9"/>
    <x v="65"/>
    <n v="0.32475137500000001"/>
    <x v="65"/>
    <n v="2802.7905838400002"/>
    <n v="100.746739819"/>
    <n v="188.05603701300001"/>
    <n v="188.05603701300001"/>
    <n v="5.6103415950000004"/>
    <n v="8.4473857900000002"/>
  </r>
  <r>
    <n v="5"/>
    <x v="4"/>
    <x v="10"/>
    <x v="66"/>
    <n v="0.32286636800000001"/>
    <x v="66"/>
    <n v="2951.800924358"/>
    <n v="106.22850561"/>
    <n v="200.83167949099999"/>
    <n v="200.83167949099999"/>
    <n v="5.4411346719999996"/>
    <n v="6.7935295670000002"/>
  </r>
  <r>
    <n v="5"/>
    <x v="4"/>
    <x v="11"/>
    <x v="67"/>
    <n v="0.30649527900000001"/>
    <x v="67"/>
    <n v="2885.1841073639998"/>
    <n v="107.045247383"/>
    <n v="199.005573806"/>
    <n v="199.005573806"/>
    <n v="0.76885367900000001"/>
    <n v="-0.90927172899999997"/>
  </r>
  <r>
    <n v="5"/>
    <x v="4"/>
    <x v="12"/>
    <x v="68"/>
    <n v="0.32442035899999999"/>
    <x v="68"/>
    <n v="3108.1743662600002"/>
    <n v="116.369372363"/>
    <n v="217.311118991"/>
    <n v="217.311118991"/>
    <n v="8.7104520819999998"/>
    <n v="9.1985087829999994"/>
  </r>
  <r>
    <n v="5"/>
    <x v="4"/>
    <x v="13"/>
    <x v="69"/>
    <n v="0.387142612"/>
    <x v="69"/>
    <n v="2950.1102665240001"/>
    <n v="113.0424569"/>
    <n v="208.96811061899999"/>
    <n v="208.96811061899999"/>
    <n v="-2.8589270490000001"/>
    <n v="-3.8391999499999998"/>
  </r>
  <r>
    <n v="6"/>
    <x v="5"/>
    <x v="0"/>
    <x v="70"/>
    <n v="1.464650419"/>
    <x v="70"/>
    <n v="2719.5593828229999"/>
    <n v="311.911704735"/>
    <n v="311.911704735"/>
    <n v="311.911704735"/>
    <m/>
    <m/>
  </r>
  <r>
    <n v="6"/>
    <x v="5"/>
    <x v="1"/>
    <x v="71"/>
    <n v="1.410057728"/>
    <x v="71"/>
    <n v="3075.3645870340001"/>
    <n v="334.66900758600002"/>
    <n v="354.71255146800002"/>
    <n v="354.71255146800002"/>
    <n v="7.2960720950000004"/>
    <n v="13.722103430000001"/>
  </r>
  <r>
    <n v="6"/>
    <x v="5"/>
    <x v="2"/>
    <x v="72"/>
    <n v="1.585708433"/>
    <x v="72"/>
    <n v="3709.6938038650001"/>
    <n v="384.848249205"/>
    <n v="429.99060880600001"/>
    <n v="429.99060880600001"/>
    <n v="14.993692419"/>
    <n v="21.222270547000001"/>
  </r>
  <r>
    <n v="6"/>
    <x v="5"/>
    <x v="3"/>
    <x v="73"/>
    <n v="1.5675486750000001"/>
    <x v="73"/>
    <n v="3964.3232840599999"/>
    <n v="385.32760543900002"/>
    <n v="461.49083782100001"/>
    <n v="461.49083782100001"/>
    <n v="0.124557208"/>
    <n v="7.3257946499999997"/>
  </r>
  <r>
    <n v="6"/>
    <x v="5"/>
    <x v="4"/>
    <x v="74"/>
    <n v="1.438163667"/>
    <x v="74"/>
    <n v="4269.9068429019999"/>
    <n v="392.440670372"/>
    <n v="498.84467664300001"/>
    <n v="498.84467664300001"/>
    <n v="1.8459785470000001"/>
    <n v="8.0941669390000008"/>
  </r>
  <r>
    <n v="6"/>
    <x v="5"/>
    <x v="5"/>
    <x v="75"/>
    <n v="1.368069234"/>
    <x v="75"/>
    <n v="4719.6216413459997"/>
    <n v="415.08240177200003"/>
    <n v="553.10661901399999"/>
    <n v="553.10661901399999"/>
    <n v="5.7694660899999999"/>
    <n v="10.877522586"/>
  </r>
  <r>
    <n v="6"/>
    <x v="5"/>
    <x v="6"/>
    <x v="76"/>
    <n v="1.339464464"/>
    <x v="76"/>
    <n v="5196.9345306759997"/>
    <n v="441.963173762"/>
    <n v="610.79571539000005"/>
    <n v="610.79571539000005"/>
    <n v="6.4760085890000001"/>
    <n v="10.430013743"/>
  </r>
  <r>
    <n v="6"/>
    <x v="5"/>
    <x v="7"/>
    <x v="77"/>
    <n v="1.463849167"/>
    <x v="77"/>
    <n v="6202.15351594"/>
    <n v="511.30939515"/>
    <n v="730.77494016900005"/>
    <n v="730.77494016900005"/>
    <n v="15.690497648999999"/>
    <n v="19.643101901000001"/>
  </r>
  <r>
    <n v="6"/>
    <x v="5"/>
    <x v="8"/>
    <x v="78"/>
    <n v="1.3192967529999999"/>
    <x v="78"/>
    <n v="6043.1044695139999"/>
    <n v="492.88980319699999"/>
    <n v="713.63020680499994"/>
    <n v="713.63020680499994"/>
    <n v="-3.6024356540000002"/>
    <n v="-2.3461030780000001"/>
  </r>
  <r>
    <n v="6"/>
    <x v="5"/>
    <x v="9"/>
    <x v="79"/>
    <n v="1.2517730979999999"/>
    <x v="79"/>
    <n v="6125.6524165729998"/>
    <n v="511.53911470100002"/>
    <n v="724.87295306299995"/>
    <n v="724.87295306299995"/>
    <n v="3.7836675419999999"/>
    <n v="1.5754302650000001"/>
  </r>
  <r>
    <n v="6"/>
    <x v="5"/>
    <x v="10"/>
    <x v="80"/>
    <n v="1.235708185"/>
    <x v="80"/>
    <n v="6483.6582280700004"/>
    <n v="536.42348981400005"/>
    <n v="768.64416659599999"/>
    <n v="768.64416659599999"/>
    <n v="4.8646084719999996"/>
    <n v="6.038466927"/>
  </r>
  <r>
    <n v="6"/>
    <x v="5"/>
    <x v="11"/>
    <x v="81"/>
    <n v="1.2120701970000001"/>
    <x v="81"/>
    <n v="6628.0657752979996"/>
    <n v="558.11463822200005"/>
    <n v="786.99001789600004"/>
    <n v="786.99001789600004"/>
    <n v="4.0436611779999998"/>
    <n v="2.3867807879999998"/>
  </r>
  <r>
    <n v="6"/>
    <x v="5"/>
    <x v="12"/>
    <x v="82"/>
    <n v="1.216715685"/>
    <x v="82"/>
    <n v="6856.6022958000003"/>
    <n v="577.20832779499995"/>
    <n v="815.01003189000005"/>
    <n v="815.01003189000005"/>
    <n v="3.421105319"/>
    <n v="3.5604027189999998"/>
  </r>
  <r>
    <n v="6"/>
    <x v="5"/>
    <x v="13"/>
    <x v="83"/>
    <n v="1.3744496310000001"/>
    <x v="83"/>
    <n v="6235.289252695"/>
    <n v="531.52494049200004"/>
    <n v="741.887185864"/>
    <n v="741.887185864"/>
    <n v="-7.9145405750000002"/>
    <n v="-8.9720179099999999"/>
  </r>
  <r>
    <n v="7"/>
    <x v="6"/>
    <x v="0"/>
    <x v="84"/>
    <n v="1.350315119"/>
    <x v="84"/>
    <n v="3097.836605855"/>
    <n v="287.56287861200002"/>
    <n v="287.56287861200002"/>
    <n v="287.56287861200002"/>
    <m/>
    <m/>
  </r>
  <r>
    <n v="7"/>
    <x v="6"/>
    <x v="1"/>
    <x v="85"/>
    <n v="1.323420603"/>
    <x v="85"/>
    <n v="3569.5560321920002"/>
    <n v="323.608991511"/>
    <n v="332.91821289799998"/>
    <n v="332.91821289799998"/>
    <n v="12.535036884"/>
    <n v="15.772318911999999"/>
  </r>
  <r>
    <n v="7"/>
    <x v="6"/>
    <x v="2"/>
    <x v="86"/>
    <n v="1.0901199049999999"/>
    <x v="86"/>
    <n v="3156.1026074820002"/>
    <n v="272.16883168599998"/>
    <n v="295.60372631899997"/>
    <n v="295.60372631899997"/>
    <n v="-15.895775820000001"/>
    <n v="-11.208304362"/>
  </r>
  <r>
    <n v="7"/>
    <x v="6"/>
    <x v="3"/>
    <x v="87"/>
    <n v="1.11917636"/>
    <x v="87"/>
    <n v="3504.7892146300001"/>
    <n v="282.80544134199999"/>
    <n v="329.48873885699999"/>
    <n v="329.48873885699999"/>
    <n v="3.908092484"/>
    <n v="11.462985585"/>
  </r>
  <r>
    <n v="7"/>
    <x v="6"/>
    <x v="4"/>
    <x v="88"/>
    <n v="1.0628595240000001"/>
    <x v="88"/>
    <n v="3908.8366720560002"/>
    <n v="298.96855971100001"/>
    <n v="368.66583956199997"/>
    <n v="368.66583956199997"/>
    <n v="5.715278423"/>
    <n v="11.890270011"/>
  </r>
  <r>
    <n v="7"/>
    <x v="6"/>
    <x v="5"/>
    <x v="89"/>
    <n v="1.0248667629999999"/>
    <x v="89"/>
    <n v="4381.7897913779998"/>
    <n v="314.89894120100001"/>
    <n v="414.35080625199998"/>
    <n v="414.35080625199998"/>
    <n v="5.3284470800000001"/>
    <n v="12.39197175"/>
  </r>
  <r>
    <n v="7"/>
    <x v="6"/>
    <x v="6"/>
    <x v="90"/>
    <n v="1.005922183"/>
    <x v="90"/>
    <n v="4839.3781211730002"/>
    <n v="333.28883263199998"/>
    <n v="458.70045521499998"/>
    <n v="458.70045521499998"/>
    <n v="5.8399343479999999"/>
    <n v="10.703405976999999"/>
  </r>
  <r>
    <n v="7"/>
    <x v="6"/>
    <x v="7"/>
    <x v="91"/>
    <n v="1.0187058769999999"/>
    <x v="91"/>
    <n v="5354.0900742570002"/>
    <n v="359.891928893"/>
    <n v="508.55289161299999"/>
    <n v="508.55289161299999"/>
    <n v="7.981994491"/>
    <n v="10.868189868"/>
  </r>
  <r>
    <n v="7"/>
    <x v="6"/>
    <x v="8"/>
    <x v="92"/>
    <n v="0.98027227500000003"/>
    <x v="92"/>
    <n v="5572.7384246969996"/>
    <n v="362.351186934"/>
    <n v="530.24606111000003"/>
    <n v="530.24606111000003"/>
    <n v="0.68333236900000005"/>
    <n v="4.2656663359999998"/>
  </r>
  <r>
    <n v="7"/>
    <x v="6"/>
    <x v="9"/>
    <x v="93"/>
    <n v="1.024030818"/>
    <x v="93"/>
    <n v="6222.9659351549999"/>
    <n v="375.65993132800003"/>
    <n v="592.99264692700001"/>
    <n v="592.99264692700001"/>
    <n v="3.6728855519999999"/>
    <n v="11.833484568999999"/>
  </r>
  <r>
    <n v="7"/>
    <x v="6"/>
    <x v="10"/>
    <x v="94"/>
    <n v="1.020583104"/>
    <x v="94"/>
    <n v="6654.338040091"/>
    <n v="400.13775178499998"/>
    <n v="634.83050336300005"/>
    <n v="634.83050336300005"/>
    <n v="6.5159519059999997"/>
    <n v="7.0553752479999998"/>
  </r>
  <r>
    <n v="7"/>
    <x v="6"/>
    <x v="11"/>
    <x v="95"/>
    <n v="1.009909041"/>
    <x v="95"/>
    <n v="6867.3401462000002"/>
    <n v="416.449313136"/>
    <n v="655.72797386000002"/>
    <n v="655.72797386000002"/>
    <n v="4.0764864799999998"/>
    <n v="3.2918189010000001"/>
  </r>
  <r>
    <n v="7"/>
    <x v="6"/>
    <x v="12"/>
    <x v="96"/>
    <n v="1.0172536919999999"/>
    <x v="96"/>
    <n v="7132.1075800799999"/>
    <n v="430.492206232"/>
    <n v="681.40155820099994"/>
    <n v="681.40155820099994"/>
    <n v="3.3720533700000002"/>
    <n v="3.915279714"/>
  </r>
  <r>
    <n v="7"/>
    <x v="6"/>
    <x v="13"/>
    <x v="97"/>
    <n v="1.128027031"/>
    <x v="97"/>
    <n v="6371.8572971350004"/>
    <n v="385.99459499800003"/>
    <n v="608.87556774200004"/>
    <n v="608.87556774200004"/>
    <n v="-10.336449903"/>
    <n v="-10.643649047"/>
  </r>
  <r>
    <n v="8"/>
    <x v="7"/>
    <x v="0"/>
    <x v="98"/>
    <n v="70.088455037000003"/>
    <x v="98"/>
    <n v="8525.8542661810006"/>
    <n v="14926.025495009"/>
    <n v="14926.025495009"/>
    <n v="14926.025495009"/>
    <m/>
    <m/>
  </r>
  <r>
    <n v="8"/>
    <x v="7"/>
    <x v="1"/>
    <x v="99"/>
    <n v="69.721483022000001"/>
    <x v="99"/>
    <n v="9799.2764743179996"/>
    <n v="16357.316957476"/>
    <n v="17539.058610582"/>
    <n v="17539.058610582"/>
    <n v="9.5892336710000006"/>
    <n v="17.506556695"/>
  </r>
  <r>
    <n v="8"/>
    <x v="7"/>
    <x v="2"/>
    <x v="100"/>
    <n v="70.552616850000007"/>
    <x v="100"/>
    <n v="10460.704607408999"/>
    <n v="16633.945827137999"/>
    <n v="19131.488510149"/>
    <n v="19131.488510149"/>
    <n v="1.6911628620000001"/>
    <n v="9.0793350709999991"/>
  </r>
  <r>
    <n v="8"/>
    <x v="7"/>
    <x v="3"/>
    <x v="101"/>
    <n v="70.772016715999996"/>
    <x v="101"/>
    <n v="11154.097073581999"/>
    <n v="17772.246731792002"/>
    <n v="20835.485248247001"/>
    <n v="20835.485248247001"/>
    <n v="6.843240422"/>
    <n v="8.9067650809999996"/>
  </r>
  <r>
    <n v="8"/>
    <x v="7"/>
    <x v="4"/>
    <x v="102"/>
    <n v="71.678037543000002"/>
    <x v="102"/>
    <n v="13034.470343987001"/>
    <n v="20190.317811182002"/>
    <n v="24862.404940583001"/>
    <n v="24862.404940583001"/>
    <n v="13.605882901999999"/>
    <n v="19.327218177999999"/>
  </r>
  <r>
    <s v="PIB"/>
    <x v="8"/>
    <x v="0"/>
    <x v="103"/>
    <n v="100"/>
    <x v="103"/>
    <n v="6127.034272766"/>
    <n v="21295.984230255999"/>
    <n v="21295.984230255999"/>
    <n v="21295.984230255999"/>
    <m/>
    <m/>
  </r>
  <r>
    <s v="PIB"/>
    <x v="8"/>
    <x v="1"/>
    <x v="103"/>
    <n v="100"/>
    <x v="104"/>
    <n v="7110.228422702"/>
    <n v="23394.842891008"/>
    <n v="25155.888616322001"/>
    <n v="25155.888616322001"/>
    <n v="9.8556546530000002"/>
    <n v="18.125034017000001"/>
  </r>
  <r>
    <s v="PIB"/>
    <x v="8"/>
    <x v="2"/>
    <x v="103"/>
    <n v="100"/>
    <x v="105"/>
    <n v="7532.3987681039998"/>
    <n v="23685.639048664001"/>
    <n v="27116.635565174001"/>
    <n v="27116.635565174001"/>
    <n v="1.242992565"/>
    <n v="7.7943855559999999"/>
  </r>
  <r>
    <s v="PIB"/>
    <x v="8"/>
    <x v="3"/>
    <x v="103"/>
    <n v="100"/>
    <x v="106"/>
    <n v="8039.7635560500003"/>
    <n v="25066.036464509001"/>
    <n v="29440.287581267999"/>
    <n v="29440.287581267999"/>
    <n v="5.8279931270000001"/>
    <n v="8.5691014669999994"/>
  </r>
  <r>
    <s v="PIB"/>
    <x v="8"/>
    <x v="4"/>
    <x v="103"/>
    <n v="100"/>
    <x v="107"/>
    <n v="9314.6862832379993"/>
    <n v="27901.914146135001"/>
    <n v="34686.224301176997"/>
    <n v="34686.224301176997"/>
    <n v="11.313626251000001"/>
    <n v="17.81890447"/>
  </r>
  <r>
    <s v="PIB"/>
    <x v="8"/>
    <x v="5"/>
    <x v="103"/>
    <n v="100"/>
    <x v="108"/>
    <n v="10674.486324365"/>
    <n v="30630.394203219999"/>
    <n v="40429.734384217998"/>
    <n v="40429.734384217998"/>
    <n v="9.7788275129999995"/>
    <n v="16.558475875999999"/>
  </r>
  <r>
    <s v="PIB"/>
    <x v="8"/>
    <x v="6"/>
    <x v="103"/>
    <n v="100"/>
    <x v="109"/>
    <n v="11841.893561849"/>
    <n v="32744.944099195"/>
    <n v="45599.994004886998"/>
    <n v="45599.994004886998"/>
    <n v="6.9034367689999998"/>
    <n v="12.788260173999999"/>
  </r>
  <r>
    <s v="PIB"/>
    <x v="8"/>
    <x v="7"/>
    <x v="103"/>
    <n v="100"/>
    <x v="110"/>
    <n v="12756.952773657"/>
    <n v="34404.003736364997"/>
    <n v="49921.464365319996"/>
    <n v="49921.464365319996"/>
    <n v="5.0666131300000004"/>
    <n v="9.4769099309999998"/>
  </r>
  <r>
    <s v="PIB"/>
    <x v="8"/>
    <x v="8"/>
    <x v="103"/>
    <n v="100"/>
    <x v="111"/>
    <n v="13606.595085538"/>
    <n v="36376.278707698999"/>
    <n v="54091.713775563003"/>
    <n v="54091.713775563003"/>
    <n v="5.7327521490000004"/>
    <n v="8.3536174610000007"/>
  </r>
  <r>
    <s v="PIB"/>
    <x v="8"/>
    <x v="9"/>
    <x v="103"/>
    <n v="100"/>
    <x v="112"/>
    <n v="14344.086849939"/>
    <n v="38178.154005942997"/>
    <n v="57907.695408938998"/>
    <n v="57907.695408938998"/>
    <n v="4.9534349369999999"/>
    <n v="7.0546534779999996"/>
  </r>
  <r>
    <s v="PIB"/>
    <x v="8"/>
    <x v="10"/>
    <x v="103"/>
    <n v="100"/>
    <x v="113"/>
    <n v="15178.300667124"/>
    <n v="40312.819925285003"/>
    <n v="62202.725204465001"/>
    <n v="62202.725204465001"/>
    <n v="5.5913282740000003"/>
    <n v="7.4170276770000001"/>
  </r>
  <r>
    <n v="8"/>
    <x v="7"/>
    <x v="5"/>
    <x v="104"/>
    <n v="72.560475203999999"/>
    <x v="114"/>
    <n v="15051.334947683001"/>
    <n v="22424.785274956001"/>
    <n v="29336.000047136"/>
    <n v="29336.000047136"/>
    <n v="11.067024722999999"/>
    <n v="17.993412613"/>
  </r>
  <r>
    <n v="8"/>
    <x v="7"/>
    <x v="6"/>
    <x v="105"/>
    <n v="74.318899744999996"/>
    <x v="115"/>
    <n v="17029.496778504999"/>
    <n v="24411.582726484001"/>
    <n v="33889.413828088997"/>
    <n v="33889.413828088997"/>
    <n v="8.8598282089999998"/>
    <n v="15.521590446999999"/>
  </r>
  <r>
    <n v="8"/>
    <x v="7"/>
    <x v="7"/>
    <x v="106"/>
    <n v="70.451758214999998"/>
    <x v="116"/>
    <n v="23605.583752410999"/>
    <n v="24136.591629921"/>
    <n v="35170.549372310998"/>
    <n v="35170.549372310998"/>
    <n v="6.3749548149999997"/>
    <n v="11.3"/>
  </r>
  <r>
    <n v="8"/>
    <x v="7"/>
    <x v="8"/>
    <x v="107"/>
    <n v="67.300728116000002"/>
    <x v="117"/>
    <n v="24000.762388268002"/>
    <n v="24443.001244984"/>
    <n v="36404.116382900997"/>
    <n v="36404.116382900997"/>
    <n v="1.269481705"/>
    <n v="3.5073862440000001"/>
  </r>
  <r>
    <n v="8"/>
    <x v="7"/>
    <x v="9"/>
    <x v="108"/>
    <n v="64.723442978999998"/>
    <x v="118"/>
    <n v="24271.608789398"/>
    <n v="24848.620077558"/>
    <n v="37479.854218455999"/>
    <n v="37479.854218455999"/>
    <n v="1.6594477430000001"/>
    <n v="2.9549895519999998"/>
  </r>
  <r>
    <n v="8"/>
    <x v="7"/>
    <x v="10"/>
    <x v="109"/>
    <n v="62.927382277"/>
    <x v="119"/>
    <n v="24902.848738892"/>
    <n v="25506.942657426"/>
    <n v="39142.546676277998"/>
    <n v="39142.546676277998"/>
    <n v="2.64933255"/>
    <n v="4.4362297890000004"/>
  </r>
  <r>
    <n v="8"/>
    <x v="7"/>
    <x v="11"/>
    <x v="110"/>
    <n v="62.492453961000002"/>
    <x v="120"/>
    <n v="25371.881293687999"/>
    <n v="26272.413856207"/>
    <n v="40575.981158930997"/>
    <n v="40575.981158930997"/>
    <n v="3.0010307749999998"/>
    <n v="3.662087944"/>
  </r>
  <r>
    <n v="8"/>
    <x v="7"/>
    <x v="12"/>
    <x v="111"/>
    <n v="62.127070392"/>
    <x v="121"/>
    <n v="25587.879668220001"/>
    <n v="26855.672725920998"/>
    <n v="41615.462207522003"/>
    <n v="41615.462207522003"/>
    <n v="2.2200429430000002"/>
    <n v="2.5618137110000001"/>
  </r>
  <r>
    <n v="8"/>
    <x v="7"/>
    <x v="13"/>
    <x v="112"/>
    <n v="60.344843908999998"/>
    <x v="122"/>
    <n v="19665.273064009001"/>
    <n v="21088.023200664"/>
    <n v="32572.358721567001"/>
    <n v="32572.358721567001"/>
    <n v="-21.476466383999998"/>
    <n v="-21.730152703000002"/>
  </r>
  <r>
    <n v="9"/>
    <x v="9"/>
    <x v="0"/>
    <x v="113"/>
    <n v="2.4800249619999999"/>
    <x v="123"/>
    <n v="2247.3711104190002"/>
    <n v="528.14569517500001"/>
    <n v="528.14569517500001"/>
    <n v="528.14569517500001"/>
    <m/>
    <m/>
  </r>
  <r>
    <n v="9"/>
    <x v="9"/>
    <x v="1"/>
    <x v="114"/>
    <n v="2.3675292429999999"/>
    <x v="124"/>
    <n v="2518.3962861250002"/>
    <n v="557.27721380100002"/>
    <n v="595.57301930899996"/>
    <n v="595.57301930899996"/>
    <n v="5.5158110520000001"/>
    <n v="12.766803696"/>
  </r>
  <r>
    <n v="9"/>
    <x v="9"/>
    <x v="2"/>
    <x v="115"/>
    <n v="2.3775804620000001"/>
    <x v="125"/>
    <n v="2709.9761119250002"/>
    <n v="565.09390224799995"/>
    <n v="644.71957688400005"/>
    <n v="644.71957688400005"/>
    <n v="1.402657107"/>
    <n v="8.2519785120000009"/>
  </r>
  <r>
    <n v="9"/>
    <x v="9"/>
    <x v="3"/>
    <x v="116"/>
    <n v="2.3970627430000002"/>
    <x v="126"/>
    <n v="2949.483059143"/>
    <n v="576.64928454699998"/>
    <n v="705.70216517999995"/>
    <n v="705.70216517999995"/>
    <n v="2.044860554"/>
    <n v="9.4587771929999995"/>
  </r>
  <r>
    <n v="9"/>
    <x v="9"/>
    <x v="4"/>
    <x v="117"/>
    <n v="2.3138394039999999"/>
    <x v="127"/>
    <n v="3336.7016761129998"/>
    <n v="617.54087315799995"/>
    <n v="802.583527559"/>
    <n v="802.583527559"/>
    <n v="7.0912406739999998"/>
    <n v="13.728364055"/>
  </r>
  <r>
    <n v="9"/>
    <x v="9"/>
    <x v="5"/>
    <x v="118"/>
    <n v="2.2031970620000001"/>
    <x v="128"/>
    <n v="3687.5514777950002"/>
    <n v="646.42102129499995"/>
    <n v="890.74649721900005"/>
    <n v="890.74649721900005"/>
    <n v="4.6766375140000003"/>
    <n v="10.984896479"/>
  </r>
  <r>
    <n v="9"/>
    <x v="9"/>
    <x v="6"/>
    <x v="119"/>
    <n v="2.4894339310000002"/>
    <x v="129"/>
    <n v="4680.4090197269998"/>
    <n v="777.77883731500003"/>
    <n v="1135.1817232359999"/>
    <n v="1135.1817232359999"/>
    <n v="20.320783466999998"/>
    <n v="27.441615182"/>
  </r>
  <r>
    <n v="9"/>
    <x v="9"/>
    <x v="7"/>
    <x v="120"/>
    <n v="2.2181604660000001"/>
    <x v="130"/>
    <n v="4547.7581788179996"/>
    <n v="726.55204886800004"/>
    <n v="1107.3381867190001"/>
    <n v="1107.3381867190001"/>
    <n v="-6.5862923990000004"/>
    <n v="-2.4527823120000001"/>
  </r>
  <r>
    <n v="9"/>
    <x v="9"/>
    <x v="8"/>
    <x v="121"/>
    <n v="2.1987387790000001"/>
    <x v="131"/>
    <n v="4866.0493820669999"/>
    <n v="765.45006999899999"/>
    <n v="1189.335459718"/>
    <n v="1189.335459718"/>
    <n v="5.3537831450000004"/>
    <n v="7.4048988810000003"/>
  </r>
  <r>
    <n v="9"/>
    <x v="9"/>
    <x v="9"/>
    <x v="122"/>
    <n v="2.251543694"/>
    <x v="132"/>
    <n v="5315.540616196"/>
    <n v="794.81246441600001"/>
    <n v="1303.817064503"/>
    <n v="1303.817064503"/>
    <n v="3.8359646920000001"/>
    <n v="9.6256782600000008"/>
  </r>
  <r>
    <n v="9"/>
    <x v="9"/>
    <x v="10"/>
    <x v="123"/>
    <n v="2.2044926469999999"/>
    <x v="133"/>
    <n v="5571.4648624789997"/>
    <n v="826.24559731199997"/>
    <n v="1371.254503418"/>
    <n v="1371.254503418"/>
    <n v="3.9547861040000001"/>
    <n v="5.1723083509999999"/>
  </r>
  <r>
    <n v="9"/>
    <x v="9"/>
    <x v="11"/>
    <x v="124"/>
    <n v="2.1724032709999999"/>
    <x v="134"/>
    <n v="5712.978219783"/>
    <n v="858.66018098300003"/>
    <n v="1410.5286094860001"/>
    <n v="1410.5286094860001"/>
    <n v="3.923117264"/>
    <n v="2.8641004259999998"/>
  </r>
  <r>
    <n v="9"/>
    <x v="9"/>
    <x v="12"/>
    <x v="125"/>
    <n v="2.2521166670000001"/>
    <x v="135"/>
    <n v="6091.6777647480003"/>
    <n v="915.82741510999995"/>
    <n v="1508.5674483729999"/>
    <n v="1508.5674483729999"/>
    <n v="6.6577250689999996"/>
    <n v="6.9505033950000001"/>
  </r>
  <r>
    <n v="9"/>
    <x v="9"/>
    <x v="13"/>
    <x v="126"/>
    <n v="2.5439381980000002"/>
    <x v="136"/>
    <n v="5529.6182926780002"/>
    <n v="839.83870486199999"/>
    <n v="1373.1424625290001"/>
    <n v="1373.1424625290001"/>
    <n v="-8.2972740270000003"/>
    <n v="-8.9770587309999996"/>
  </r>
  <r>
    <n v="13"/>
    <x v="10"/>
    <x v="7"/>
    <x v="127"/>
    <n v="5.1262781239999997"/>
    <x v="137"/>
    <n v="4738.8175272569997"/>
    <n v="1831.218465015"/>
    <n v="2559.11310688"/>
    <n v="2559.11310688"/>
    <n v="0"/>
    <n v="0"/>
  </r>
  <r>
    <n v="13"/>
    <x v="10"/>
    <x v="8"/>
    <x v="128"/>
    <n v="6.7619040730000002"/>
    <x v="138"/>
    <n v="6614.3739086409996"/>
    <n v="2532.9299195519998"/>
    <n v="3657.6297127480002"/>
    <n v="3657.6297127480002"/>
    <n v="38.319374119000003"/>
    <n v="42.925676201000002"/>
  </r>
  <r>
    <n v="13"/>
    <x v="10"/>
    <x v="9"/>
    <x v="129"/>
    <n v="6.5434784749999997"/>
    <x v="139"/>
    <n v="6707.6843280390003"/>
    <n v="2545.1462207149998"/>
    <n v="3789.1775845930001"/>
    <n v="3789.1775845930001"/>
    <n v="0.482299217"/>
    <n v="3.5965333340000001"/>
  </r>
  <r>
    <n v="13"/>
    <x v="10"/>
    <x v="10"/>
    <x v="130"/>
    <n v="6.061903526"/>
    <x v="140"/>
    <n v="6542.6431619699997"/>
    <n v="2499.870541283"/>
    <n v="3770.6691923929998"/>
    <n v="3770.6691923929998"/>
    <n v="-1.77890288"/>
    <n v="-0.48845407200000002"/>
  </r>
  <r>
    <n v="13"/>
    <x v="10"/>
    <x v="11"/>
    <x v="131"/>
    <n v="5.72796767"/>
    <x v="141"/>
    <n v="6330.4758463369999"/>
    <n v="2450.998676144"/>
    <n v="3719.1355682950002"/>
    <n v="3719.1355682950002"/>
    <n v="-1.954975841"/>
    <n v="-1.3666970359999999"/>
  </r>
  <r>
    <n v="13"/>
    <x v="10"/>
    <x v="12"/>
    <x v="132"/>
    <n v="6.0825157179999998"/>
    <x v="142"/>
    <n v="6807.4235693840001"/>
    <n v="2670.2758568839999"/>
    <n v="4074.3383102060002"/>
    <n v="4074.3383102060002"/>
    <n v="8.9464422349999992"/>
    <n v="9.5506801350000003"/>
  </r>
  <r>
    <n v="13"/>
    <x v="10"/>
    <x v="13"/>
    <x v="133"/>
    <n v="6.532777286"/>
    <x v="143"/>
    <n v="5814.4168472049996"/>
    <n v="2282.5656286570002"/>
    <n v="3526.1996123220001"/>
    <n v="3526.1996123220001"/>
    <n v="-14.519482219"/>
    <n v="-13.453440930999999"/>
  </r>
  <r>
    <s v="PIB"/>
    <x v="8"/>
    <x v="11"/>
    <x v="103"/>
    <n v="100"/>
    <x v="144"/>
    <n v="15612.598496353001"/>
    <n v="41798.486156170002"/>
    <n v="64929.409212457002"/>
    <n v="64929.409212457002"/>
    <n v="3.6853443490000002"/>
    <n v="4.3835442889999996"/>
  </r>
  <r>
    <s v="PIB"/>
    <x v="8"/>
    <x v="12"/>
    <x v="103"/>
    <n v="100"/>
    <x v="145"/>
    <n v="15877.571852125"/>
    <n v="43043.962110555003"/>
    <n v="66984.427150321004"/>
    <n v="66984.427150321004"/>
    <n v="2.9797154610000001"/>
    <n v="3.16500329"/>
  </r>
  <r>
    <s v="PIB"/>
    <x v="8"/>
    <x v="13"/>
    <x v="103"/>
    <n v="100"/>
    <x v="146"/>
    <n v="12615.878694675999"/>
    <n v="35319.781649604003"/>
    <n v="53977.036995173003"/>
    <n v="53977.036995173003"/>
    <n v="-17.944863999999999"/>
    <n v="-19.4185286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n v="1"/>
    <x v="0"/>
    <n v="2014"/>
    <n v="1.2677984250000001"/>
    <n v="1.262574428"/>
    <n v="2869.4864433460002"/>
    <n v="4146.5727415680003"/>
    <n v="436.17341733400002"/>
    <n v="630.29564300899995"/>
    <n v="630.29564300899995"/>
    <n v="5.1748825299999996"/>
    <n v="3.703681628"/>
  </r>
  <r>
    <n v="1"/>
    <x v="0"/>
    <n v="2015"/>
    <n v="1.322684499"/>
    <n v="1.2744715390000001"/>
    <n v="3074.8327653289998"/>
    <n v="4405.6255913269997"/>
    <n v="481.143681453"/>
    <n v="689.38348127999996"/>
    <n v="689.38348127999996"/>
    <n v="10.310179926"/>
    <n v="9.3746226749999995"/>
  </r>
  <r>
    <n v="1"/>
    <x v="0"/>
    <n v="2016"/>
    <n v="1.3107696019999999"/>
    <n v="1.287107894"/>
    <n v="3108.3620336479999"/>
    <n v="4629.5794789780002"/>
    <n v="500.42763724500003"/>
    <n v="745.33451863899995"/>
    <n v="745.33451863899995"/>
    <n v="4.0079411900000004"/>
    <n v="8.1160977709999997"/>
  </r>
  <r>
    <n v="1"/>
    <x v="0"/>
    <n v="2017"/>
    <n v="1.3057243009999999"/>
    <n v="1.2673509080000001"/>
    <n v="3178.1664647379998"/>
    <n v="4759.7952121839999"/>
    <n v="526.37428622300001"/>
    <n v="788.32680263199995"/>
    <n v="788.32680263199995"/>
    <n v="5.1848952869999998"/>
    <n v="5.768186354"/>
  </r>
  <r>
    <n v="1"/>
    <x v="0"/>
    <n v="2018"/>
    <n v="1.3588635570000001"/>
    <n v="1.3087777140000001"/>
    <n v="3334.8073954279998"/>
    <n v="4989.3238459450004"/>
    <n v="567.98439558899997"/>
    <n v="849.78163744100004"/>
    <n v="849.78163744100004"/>
    <n v="7.9050421829999999"/>
    <n v="7.7956038789999997"/>
  </r>
  <r>
    <n v="1"/>
    <x v="0"/>
    <n v="2019"/>
    <n v="1.352719751"/>
    <n v="1.160151004"/>
    <n v="3324.9249209310001"/>
    <n v="4437.6202982790001"/>
    <n v="582.26417707799999"/>
    <n v="777.12050425500001"/>
    <n v="777.12050425500001"/>
    <n v="2.5141151060000002"/>
    <n v="-8.5505652259999998"/>
  </r>
  <r>
    <n v="1"/>
    <x v="0"/>
    <n v="2020"/>
    <n v="1.8042642529999999"/>
    <n v="1.5660634680000001"/>
    <n v="3540.5422221929998"/>
    <n v="4696.4534567350001"/>
    <n v="637.262194572"/>
    <n v="845.314657678"/>
    <n v="845.314657678"/>
    <n v="9.4455437339999992"/>
    <n v="8.7752353779999996"/>
  </r>
  <r>
    <n v="2"/>
    <x v="1"/>
    <n v="2014"/>
    <n v="2.7215683909999999"/>
    <n v="2.9379506470000001"/>
    <n v="3677.6308454199998"/>
    <n v="5760.652886416"/>
    <n v="936.32849087500006"/>
    <n v="1466.6679855340001"/>
    <n v="1466.6679855340001"/>
    <n v="7.5201690980000002"/>
    <n v="12.925661746999999"/>
  </r>
  <r>
    <n v="2"/>
    <x v="1"/>
    <n v="2015"/>
    <n v="2.5875494099999998"/>
    <n v="2.798949538"/>
    <n v="3662.8973654890001"/>
    <n v="5891.7373153380004"/>
    <n v="941.25473600999999"/>
    <n v="1513.9997379230001"/>
    <n v="1513.9997379230001"/>
    <n v="0.526123597"/>
    <n v="3.227162034"/>
  </r>
  <r>
    <n v="2"/>
    <x v="1"/>
    <n v="2016"/>
    <n v="2.4405061670000001"/>
    <n v="2.7510089369999999"/>
    <n v="3592.9855666530002"/>
    <n v="6143.1188867740002"/>
    <n v="931.74020311499999"/>
    <n v="1593.0458759559999"/>
    <n v="1593.0458759559999"/>
    <n v="-1.010835062"/>
    <n v="5.2210139839999998"/>
  </r>
  <r>
    <n v="2"/>
    <x v="1"/>
    <n v="2017"/>
    <n v="2.3853742649999998"/>
    <n v="2.676419664"/>
    <n v="3679.9789975879999"/>
    <n v="6371.0242238150004"/>
    <n v="961.61163188099999"/>
    <n v="1664.8059689009999"/>
    <n v="1664.8059689009999"/>
    <n v="3.2059825970000002"/>
    <n v="4.5045842069999997"/>
  </r>
  <r>
    <n v="2"/>
    <x v="1"/>
    <n v="2018"/>
    <n v="2.422274303"/>
    <n v="2.6777979410000001"/>
    <n v="3845.9966014450001"/>
    <n v="6604.5658681929999"/>
    <n v="1012.473989317"/>
    <n v="1738.6783830649999"/>
    <n v="1738.6783830649999"/>
    <n v="5.2892826739999999"/>
    <n v="4.4372987330000004"/>
  </r>
  <r>
    <n v="2"/>
    <x v="1"/>
    <n v="2019"/>
    <n v="2.4834812579999999"/>
    <n v="2.7497831370000001"/>
    <n v="4031.6528879530001"/>
    <n v="6946.7600571450002"/>
    <n v="1068.9887315880001"/>
    <n v="1841.926482392"/>
    <n v="1841.926482392"/>
    <n v="5.5818463349999998"/>
    <n v="5.938309254"/>
  </r>
  <r>
    <n v="2"/>
    <x v="1"/>
    <n v="2020"/>
    <n v="2.6197727670000002"/>
    <n v="2.9429458149999999"/>
    <n v="3465.938071049"/>
    <n v="5950.1850451600003"/>
    <n v="925.29802088999998"/>
    <n v="1588.5149513209999"/>
    <n v="1588.5149513209999"/>
    <n v="-13.441742316999999"/>
    <n v="-13.757961216"/>
  </r>
  <r>
    <n v="3"/>
    <x v="2"/>
    <n v="2014"/>
    <n v="10.167299583"/>
    <n v="10.192145582"/>
    <n v="11141.839184823"/>
    <n v="16206.723167213"/>
    <n v="3497.9581283970001"/>
    <n v="5088.0683249000003"/>
    <n v="5088.0683249000003"/>
    <n v="-2.1674893609999999"/>
    <n v="0.57851609999999998"/>
  </r>
  <r>
    <n v="3"/>
    <x v="2"/>
    <n v="2015"/>
    <n v="12.018596007999999"/>
    <n v="11.826457426999999"/>
    <n v="13699.025006612001"/>
    <n v="20044.849624252001"/>
    <n v="4371.9205396349998"/>
    <n v="6397.1333539329999"/>
    <n v="6397.1333539329999"/>
    <n v="24.984930613"/>
    <n v="25.728133849999999"/>
  </r>
  <r>
    <n v="3"/>
    <x v="2"/>
    <n v="2016"/>
    <n v="14.682986721000001"/>
    <n v="14.523892562"/>
    <n v="17281.893660954"/>
    <n v="25928.733617645001"/>
    <n v="5605.6932830160004"/>
    <n v="8410.4514660879995"/>
    <n v="8410.4514660879995"/>
    <n v="28.220383517999998"/>
    <n v="31.472192321000001"/>
  </r>
  <r>
    <n v="3"/>
    <x v="2"/>
    <n v="2017"/>
    <n v="17.163721643999999"/>
    <n v="17.069455076000001"/>
    <n v="20988.837586551999"/>
    <n v="32207.930094173"/>
    <n v="6919.1801987830004"/>
    <n v="10617.666234845001"/>
    <n v="10617.666234845001"/>
    <n v="23.431301883"/>
    <n v="26.243713284999998"/>
  </r>
  <r>
    <n v="3"/>
    <x v="2"/>
    <n v="2018"/>
    <n v="17.756989264000001"/>
    <n v="17.839231397999999"/>
    <n v="22155.679699242999"/>
    <n v="34575.843446952997"/>
    <n v="7422.1526992460003"/>
    <n v="11582.907554728999"/>
    <n v="11582.907554728999"/>
    <n v="7.2692499110000002"/>
    <n v="9.0908990589999998"/>
  </r>
  <r>
    <n v="3"/>
    <x v="2"/>
    <n v="2019"/>
    <n v="17.712421850999998"/>
    <n v="17.807669778000001"/>
    <n v="22402.360525096999"/>
    <n v="35049.718622492997"/>
    <n v="7624.1281504250001"/>
    <n v="11928.365589637"/>
    <n v="11928.365589637"/>
    <n v="2.7212516280000001"/>
    <n v="2.9824811539999998"/>
  </r>
  <r>
    <n v="3"/>
    <x v="2"/>
    <n v="2020"/>
    <n v="16.929334319999999"/>
    <n v="17.193679643999999"/>
    <n v="17297.261716650999"/>
    <n v="26847.097277433"/>
    <n v="5979.4039165209997"/>
    <n v="9280.6388223489994"/>
    <n v="9280.6388223489994"/>
    <n v="-21.572620521000001"/>
    <n v="-22.19689485"/>
  </r>
  <r>
    <n v="4"/>
    <x v="3"/>
    <n v="2014"/>
    <n v="5.4168408760000002"/>
    <n v="4.9931563140000002"/>
    <n v="2906.4820579799998"/>
    <n v="3887.5416994550001"/>
    <n v="1863.6101372380001"/>
    <n v="2492.6567498149998"/>
    <n v="2492.6567498149998"/>
    <n v="3.2096888190000001"/>
    <n v="4.9192961310000003"/>
  </r>
  <r>
    <n v="4"/>
    <x v="3"/>
    <n v="2015"/>
    <n v="5.7011622370000001"/>
    <n v="5.2186007339999998"/>
    <n v="3194.4201686649999"/>
    <n v="4348.0538974589999"/>
    <n v="2073.87187864"/>
    <n v="2822.8305071459999"/>
    <n v="2822.8305071459999"/>
    <n v="11.282496118999999"/>
    <n v="13.245857351"/>
  </r>
  <r>
    <n v="4"/>
    <x v="3"/>
    <n v="2016"/>
    <n v="5.680873364"/>
    <n v="5.3189701679999999"/>
    <n v="3299.799445135"/>
    <n v="4686.2056934169996"/>
    <n v="2168.8525817049999"/>
    <n v="3080.0930437010002"/>
    <n v="3080.0930437010002"/>
    <n v="4.5798732329999998"/>
    <n v="9.1136373899999992"/>
  </r>
  <r>
    <n v="4"/>
    <x v="3"/>
    <n v="2017"/>
    <n v="5.5829493230000002"/>
    <n v="5.2138382459999999"/>
    <n v="3382.891239046"/>
    <n v="4874.7027313110002"/>
    <n v="2250.6443071200001"/>
    <n v="3243.1494765470002"/>
    <n v="3243.1494765470002"/>
    <n v="3.7711980110000001"/>
    <n v="5.2938801050000004"/>
  </r>
  <r>
    <n v="4"/>
    <x v="3"/>
    <n v="2018"/>
    <n v="5.6399486349999997"/>
    <n v="5.2528935289999996"/>
    <n v="3500.9335910499999"/>
    <n v="5065.1022918360004"/>
    <n v="2357.4131494049998"/>
    <n v="3410.6727349470002"/>
    <n v="3410.6727349470002"/>
    <n v="4.7439234160000003"/>
    <n v="5.165449808"/>
  </r>
  <r>
    <n v="4"/>
    <x v="3"/>
    <n v="2019"/>
    <n v="5.6490296180000001"/>
    <n v="5.2623035659999999"/>
    <n v="3568.7056856150002"/>
    <n v="5173.3800716409996"/>
    <n v="2431.566168539"/>
    <n v="3524.9238988530001"/>
    <n v="3524.9238988530001"/>
    <n v="3.1455249649999999"/>
    <n v="3.349813154"/>
  </r>
  <r>
    <n v="4"/>
    <x v="3"/>
    <n v="2020"/>
    <n v="6.3180944490000002"/>
    <n v="5.9861324060000003"/>
    <n v="3237.1096763710002"/>
    <n v="4687.1478125109998"/>
    <n v="2231.5371636129998"/>
    <n v="3231.13690318"/>
    <n v="3231.13690318"/>
    <n v="-8.2263443009999992"/>
    <n v="-8.3345627909999997"/>
  </r>
  <r>
    <n v="5"/>
    <x v="4"/>
    <n v="2014"/>
    <n v="0.28056894700000001"/>
    <n v="0.33542117900000001"/>
    <n v="1478.818976021"/>
    <n v="2565.3358112649998"/>
    <n v="96.526951022000006"/>
    <n v="167.44716440900001"/>
    <n v="167.44716440900001"/>
    <n v="-2.1090854870000002"/>
    <n v="1.64380142"/>
  </r>
  <r>
    <n v="5"/>
    <x v="4"/>
    <n v="2015"/>
    <n v="0.26224428399999999"/>
    <n v="0.32058076499999999"/>
    <n v="1441.640106675"/>
    <n v="2620.5985381249998"/>
    <n v="95.394767498999997"/>
    <n v="173.40762586599999"/>
    <n v="173.40762586599999"/>
    <n v="-1.172919595"/>
    <n v="3.559607282"/>
  </r>
  <r>
    <n v="5"/>
    <x v="4"/>
    <n v="2016"/>
    <n v="0.26388583300000001"/>
    <n v="0.32475137500000001"/>
    <n v="1501.5312361220001"/>
    <n v="2802.7905838400002"/>
    <n v="100.746739819"/>
    <n v="188.05603701300001"/>
    <n v="188.05603701300001"/>
    <n v="5.6103415950000004"/>
    <n v="8.4473857900000002"/>
  </r>
  <r>
    <n v="5"/>
    <x v="4"/>
    <n v="2017"/>
    <n v="0.26351048100000002"/>
    <n v="0.32286636800000001"/>
    <n v="1561.3343564520001"/>
    <n v="2951.800924358"/>
    <n v="106.22850561"/>
    <n v="200.83167949099999"/>
    <n v="200.83167949099999"/>
    <n v="5.4411346719999996"/>
    <n v="6.7935295670000002"/>
  </r>
  <r>
    <n v="5"/>
    <x v="4"/>
    <n v="2018"/>
    <n v="0.25609838400000001"/>
    <n v="0.30649527900000001"/>
    <n v="1551.942694935"/>
    <n v="2885.1841073639998"/>
    <n v="107.045247383"/>
    <n v="199.005573806"/>
    <n v="199.005573806"/>
    <n v="0.76885367900000001"/>
    <n v="-0.90927172899999997"/>
  </r>
  <r>
    <n v="5"/>
    <x v="4"/>
    <n v="2019"/>
    <n v="0.27035004800000001"/>
    <n v="0.32442035899999999"/>
    <n v="1664.4169054680001"/>
    <n v="3108.1743662600002"/>
    <n v="116.369372363"/>
    <n v="217.311118991"/>
    <n v="217.311118991"/>
    <n v="8.7104520819999998"/>
    <n v="9.1985087829999994"/>
  </r>
  <r>
    <n v="5"/>
    <x v="4"/>
    <n v="2020"/>
    <n v="0.32005423500000002"/>
    <n v="0.387142612"/>
    <n v="1595.8784891390001"/>
    <n v="2950.1102665240001"/>
    <n v="113.0424569"/>
    <n v="208.96811061899999"/>
    <n v="208.96811061899999"/>
    <n v="-2.8589270490000001"/>
    <n v="-3.8391999499999998"/>
  </r>
  <r>
    <n v="6"/>
    <x v="5"/>
    <n v="2014"/>
    <n v="1.4861915459999999"/>
    <n v="1.463849167"/>
    <n v="4339.5294345040002"/>
    <n v="6202.15351594"/>
    <n v="511.30939515"/>
    <n v="730.77494016900005"/>
    <n v="730.77494016900005"/>
    <n v="15.690497648999999"/>
    <n v="19.643101901000001"/>
  </r>
  <r>
    <n v="6"/>
    <x v="5"/>
    <n v="2015"/>
    <n v="1.3549750890000001"/>
    <n v="1.3192967529999999"/>
    <n v="4173.8487864930003"/>
    <n v="6043.1044695139999"/>
    <n v="492.88980319699999"/>
    <n v="713.63020680499994"/>
    <n v="713.63020680499994"/>
    <n v="-3.6024356540000002"/>
    <n v="-2.3461030780000001"/>
  </r>
  <r>
    <n v="6"/>
    <x v="5"/>
    <n v="2016"/>
    <n v="1.3398738830000001"/>
    <n v="1.2517730979999999"/>
    <n v="4322.8414039979998"/>
    <n v="6125.6524165729998"/>
    <n v="511.53911470100002"/>
    <n v="724.87295306299995"/>
    <n v="724.87295306299995"/>
    <n v="3.7836675419999999"/>
    <n v="1.5754302650000001"/>
  </r>
  <r>
    <n v="6"/>
    <x v="5"/>
    <n v="2017"/>
    <n v="1.33065236"/>
    <n v="1.235708185"/>
    <n v="4524.8331082280001"/>
    <n v="6483.6582280700004"/>
    <n v="536.42348981400005"/>
    <n v="768.64416659599999"/>
    <n v="768.64416659599999"/>
    <n v="4.8646084719999996"/>
    <n v="6.038466927"/>
  </r>
  <r>
    <n v="6"/>
    <x v="5"/>
    <n v="2018"/>
    <n v="1.335250842"/>
    <n v="1.2120701970000001"/>
    <n v="4700.4669032339998"/>
    <n v="6628.0657752979996"/>
    <n v="558.11463822200005"/>
    <n v="786.99001789600004"/>
    <n v="786.99001789600004"/>
    <n v="4.0436611779999998"/>
    <n v="2.3867807879999998"/>
  </r>
  <r>
    <n v="6"/>
    <x v="5"/>
    <n v="2019"/>
    <n v="1.3409739700000001"/>
    <n v="1.216715685"/>
    <n v="4855.9990560329998"/>
    <n v="6856.6022958000003"/>
    <n v="577.20832779499995"/>
    <n v="815.01003189000005"/>
    <n v="815.01003189000005"/>
    <n v="3.421105319"/>
    <n v="3.5604027189999998"/>
  </r>
  <r>
    <n v="6"/>
    <x v="5"/>
    <n v="2020"/>
    <n v="1.504893053"/>
    <n v="1.3744496310000001"/>
    <n v="4467.2718603849999"/>
    <n v="6235.289252695"/>
    <n v="531.52494049200004"/>
    <n v="741.887185864"/>
    <n v="741.887185864"/>
    <n v="-7.9145405750000002"/>
    <n v="-8.9720179099999999"/>
  </r>
  <r>
    <n v="7"/>
    <x v="6"/>
    <n v="2014"/>
    <n v="1.0460757169999999"/>
    <n v="1.0187058769999999"/>
    <n v="3788.9742366370001"/>
    <n v="5354.0900742570002"/>
    <n v="359.891928893"/>
    <n v="508.55289161299999"/>
    <n v="508.55289161299999"/>
    <n v="7.981994491"/>
    <n v="10.868189868"/>
  </r>
  <r>
    <n v="7"/>
    <x v="6"/>
    <n v="2015"/>
    <n v="0.99611886599999999"/>
    <n v="0.98027227500000003"/>
    <n v="3808.2100571149999"/>
    <n v="5572.7384246969996"/>
    <n v="362.351186934"/>
    <n v="530.24606111000003"/>
    <n v="530.24606111000003"/>
    <n v="0.68333236900000005"/>
    <n v="4.2656663359999998"/>
  </r>
  <r>
    <n v="7"/>
    <x v="6"/>
    <n v="2016"/>
    <n v="0.98396567599999996"/>
    <n v="1.024030818"/>
    <n v="3942.2393649740002"/>
    <n v="6222.9659351549999"/>
    <n v="375.65993132800003"/>
    <n v="592.99264692700001"/>
    <n v="592.99264692700001"/>
    <n v="3.6728855519999999"/>
    <n v="11.833484568999999"/>
  </r>
  <r>
    <n v="7"/>
    <x v="6"/>
    <n v="2017"/>
    <n v="0.99258189500000005"/>
    <n v="1.020583104"/>
    <n v="4194.272091326"/>
    <n v="6654.338040091"/>
    <n v="400.13775178499998"/>
    <n v="634.83050336300005"/>
    <n v="634.83050336300005"/>
    <n v="6.5159519059999997"/>
    <n v="7.0553752479999998"/>
  </r>
  <r>
    <n v="7"/>
    <x v="6"/>
    <n v="2018"/>
    <n v="0.99632630600000005"/>
    <n v="1.009909041"/>
    <n v="4361.4108303479998"/>
    <n v="6867.3401462000002"/>
    <n v="416.449313136"/>
    <n v="655.72797386000002"/>
    <n v="655.72797386000002"/>
    <n v="4.0764864799999998"/>
    <n v="3.2918189010000001"/>
  </r>
  <r>
    <n v="7"/>
    <x v="6"/>
    <n v="2019"/>
    <n v="1.0001221659999999"/>
    <n v="1.0172536919999999"/>
    <n v="4505.8845115309996"/>
    <n v="7132.1075800799999"/>
    <n v="430.492206232"/>
    <n v="681.40155820099994"/>
    <n v="681.40155820099994"/>
    <n v="3.3720533700000002"/>
    <n v="3.915279714"/>
  </r>
  <r>
    <n v="7"/>
    <x v="6"/>
    <n v="2020"/>
    <n v="1.0928566850000001"/>
    <n v="1.128027031"/>
    <n v="4039.4172587889998"/>
    <n v="6371.8572971350004"/>
    <n v="385.99459499800003"/>
    <n v="608.87556774200004"/>
    <n v="608.87556774200004"/>
    <n v="-10.336449903"/>
    <n v="-10.643649047"/>
  </r>
  <r>
    <n v="8"/>
    <x v="7"/>
    <n v="2014"/>
    <n v="70.156345216999995"/>
    <n v="70.451758214999998"/>
    <n v="16199.870214889999"/>
    <n v="23605.583752410999"/>
    <n v="24136.591629921"/>
    <n v="35170.549372310998"/>
    <n v="35170.549372310998"/>
    <n v="6.3749548149999997"/>
    <n v="11.3"/>
  </r>
  <r>
    <n v="8"/>
    <x v="7"/>
    <n v="2015"/>
    <n v="67.194852815999994"/>
    <n v="67.300728116000002"/>
    <n v="16114.954110314"/>
    <n v="24000.762388268002"/>
    <n v="24443.001244984"/>
    <n v="36404.116382900997"/>
    <n v="36404.116382900997"/>
    <n v="1.269481705"/>
    <n v="3.5073862440000001"/>
  </r>
  <r>
    <n v="8"/>
    <x v="7"/>
    <n v="2016"/>
    <n v="65.085965324"/>
    <n v="64.723442978999998"/>
    <n v="16091.737762999999"/>
    <n v="24271.608789398"/>
    <n v="24848.620077558"/>
    <n v="37479.854218455999"/>
    <n v="37479.854218455999"/>
    <n v="1.6594477430000001"/>
    <n v="2.9549895519999998"/>
  </r>
  <r>
    <n v="8"/>
    <x v="7"/>
    <n v="2017"/>
    <n v="63.27253391"/>
    <n v="62.927382277"/>
    <n v="16227.751864046"/>
    <n v="24902.848738892"/>
    <n v="25506.942657426"/>
    <n v="39142.546676277998"/>
    <n v="39142.546676277998"/>
    <n v="2.64933255"/>
    <n v="4.4362297890000004"/>
  </r>
  <r>
    <n v="8"/>
    <x v="7"/>
    <n v="2018"/>
    <n v="62.854941105000002"/>
    <n v="62.492453961000002"/>
    <n v="16427.959266034999"/>
    <n v="25371.881293687999"/>
    <n v="26272.413856207"/>
    <n v="40575.981158930997"/>
    <n v="40575.981158930997"/>
    <n v="3.0010307749999998"/>
    <n v="3.662087944"/>
  </r>
  <r>
    <n v="8"/>
    <x v="7"/>
    <n v="2019"/>
    <n v="62.391265601999997"/>
    <n v="62.127070392"/>
    <n v="16512.605788042001"/>
    <n v="25587.879668220001"/>
    <n v="26855.672725920998"/>
    <n v="41615.462207522003"/>
    <n v="41615.462207522003"/>
    <n v="2.2200429430000002"/>
    <n v="2.5618137110000001"/>
  </r>
  <r>
    <n v="8"/>
    <x v="7"/>
    <n v="2020"/>
    <n v="59.705984057000002"/>
    <n v="60.344843908999998"/>
    <n v="12731.707217341"/>
    <n v="19665.273064009001"/>
    <n v="21088.023200664"/>
    <n v="32572.358721567001"/>
    <n v="32572.358721567001"/>
    <n v="-21.476466383999998"/>
    <n v="-21.730152703000002"/>
  </r>
  <r>
    <n v="9"/>
    <x v="8"/>
    <n v="2014"/>
    <n v="2.111824119"/>
    <n v="2.2181604660000001"/>
    <n v="2983.8969361019999"/>
    <n v="4547.7581788179996"/>
    <n v="726.55204886800004"/>
    <n v="1107.3381867190001"/>
    <n v="1107.3381867190001"/>
    <n v="-6.5862923990000004"/>
    <n v="-2.4527823120000001"/>
  </r>
  <r>
    <n v="9"/>
    <x v="8"/>
    <n v="2015"/>
    <n v="2.1042548860000001"/>
    <n v="2.1987387790000001"/>
    <n v="3131.7638851920001"/>
    <n v="4866.0493820669999"/>
    <n v="765.45006999899999"/>
    <n v="1189.335459718"/>
    <n v="1189.335459718"/>
    <n v="5.3537831450000004"/>
    <n v="7.4048988810000003"/>
  </r>
  <r>
    <n v="9"/>
    <x v="8"/>
    <n v="2016"/>
    <n v="2.0818514810000002"/>
    <n v="2.251543694"/>
    <n v="3240.3763164960001"/>
    <n v="5315.540616196"/>
    <n v="794.81246441600001"/>
    <n v="1303.817064503"/>
    <n v="1303.817064503"/>
    <n v="3.8359646920000001"/>
    <n v="9.6256782600000008"/>
  </r>
  <r>
    <n v="9"/>
    <x v="8"/>
    <n v="2017"/>
    <n v="2.0495852160000001"/>
    <n v="2.2044926469999999"/>
    <n v="3357.0706982010001"/>
    <n v="5571.4648624789997"/>
    <n v="826.24559731199997"/>
    <n v="1371.254503418"/>
    <n v="1371.254503418"/>
    <n v="3.9547861040000001"/>
    <n v="5.1723083509999999"/>
  </r>
  <r>
    <n v="9"/>
    <x v="8"/>
    <n v="2018"/>
    <n v="2.054285358"/>
    <n v="2.1724032709999999"/>
    <n v="3477.7790958360001"/>
    <n v="5712.978219783"/>
    <n v="858.66018098300003"/>
    <n v="1410.5286094860001"/>
    <n v="1410.5286094860001"/>
    <n v="3.923117264"/>
    <n v="2.8641004259999998"/>
  </r>
  <r>
    <n v="9"/>
    <x v="8"/>
    <n v="2019"/>
    <n v="2.127655936"/>
    <n v="2.2521166670000001"/>
    <n v="3698.161130939"/>
    <n v="6091.6777647480003"/>
    <n v="915.82741510999995"/>
    <n v="1508.5674483729999"/>
    <n v="1508.5674483729999"/>
    <n v="6.6577250689999996"/>
    <n v="6.9505033950000001"/>
  </r>
  <r>
    <n v="9"/>
    <x v="8"/>
    <n v="2020"/>
    <n v="2.3778139770000002"/>
    <n v="2.5439381980000002"/>
    <n v="3382.0143153590002"/>
    <n v="5529.6182926780002"/>
    <n v="839.83870486199999"/>
    <n v="1373.1424625290001"/>
    <n v="1373.1424625290001"/>
    <n v="-8.2972740270000003"/>
    <n v="-8.9770587309999996"/>
  </r>
  <r>
    <n v="13"/>
    <x v="9"/>
    <n v="2014"/>
    <n v="5.3226899960000003"/>
    <n v="5.1262781239999997"/>
    <n v="3390.944360732"/>
    <n v="4738.8175272569997"/>
    <n v="1831.218465015"/>
    <n v="2559.11310688"/>
    <n v="2559.11310688"/>
    <n v="0"/>
    <n v="0"/>
  </r>
  <r>
    <n v="13"/>
    <x v="9"/>
    <n v="2015"/>
    <n v="6.9631323680000001"/>
    <n v="6.7619040730000002"/>
    <n v="4580.4925287830001"/>
    <n v="6614.3739086409996"/>
    <n v="2532.9299195519998"/>
    <n v="3657.6297127480002"/>
    <n v="3657.6297127480002"/>
    <n v="38.319374119000003"/>
    <n v="42.925676201000002"/>
  </r>
  <r>
    <n v="13"/>
    <x v="9"/>
    <n v="2016"/>
    <n v="6.6664989099999996"/>
    <n v="6.5434784749999997"/>
    <n v="4505.4730310539999"/>
    <n v="6707.6843280390003"/>
    <n v="2545.1462207149998"/>
    <n v="3789.1775845930001"/>
    <n v="3789.1775845930001"/>
    <n v="0.482299217"/>
    <n v="3.5965333340000001"/>
  </r>
  <r>
    <n v="13"/>
    <x v="9"/>
    <n v="2017"/>
    <n v="6.2011800360000002"/>
    <n v="6.061903526"/>
    <n v="4337.6281684249998"/>
    <n v="6542.6431619699997"/>
    <n v="2499.870541283"/>
    <n v="3770.6691923929998"/>
    <n v="3770.6691923929998"/>
    <n v="-1.77890288"/>
    <n v="-0.48845407200000002"/>
  </r>
  <r>
    <n v="13"/>
    <x v="9"/>
    <n v="2018"/>
    <n v="5.863845564"/>
    <n v="5.72796767"/>
    <n v="4171.9339437369999"/>
    <n v="6330.4758463369999"/>
    <n v="2450.998676144"/>
    <n v="3719.1355682950002"/>
    <n v="3719.1355682950002"/>
    <n v="-1.954975841"/>
    <n v="-1.3666970359999999"/>
  </r>
  <r>
    <n v="13"/>
    <x v="9"/>
    <n v="2019"/>
    <n v="6.2036014479999997"/>
    <n v="6.0825157179999998"/>
    <n v="4461.5094331689997"/>
    <n v="6807.4235693840001"/>
    <n v="2670.2758568839999"/>
    <n v="4074.3383102060002"/>
    <n v="4074.3383102060002"/>
    <n v="8.9464422349999992"/>
    <n v="9.5506801350000003"/>
  </r>
  <r>
    <n v="13"/>
    <x v="9"/>
    <n v="2020"/>
    <n v="6.4625700439999996"/>
    <n v="6.532777286"/>
    <n v="3763.7653863199998"/>
    <n v="5814.4168472049996"/>
    <n v="2282.5656286570002"/>
    <n v="3526.1996123220001"/>
    <n v="3526.1996123220001"/>
    <n v="-14.519482219"/>
    <n v="-13.453440930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03F22D-8374-4BBF-BFCE-E15A67C27265}" name="Tabla dinámica2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7">
  <location ref="A105:B116" firstHeaderRow="1" firstDataRow="1" firstDataCol="1"/>
  <pivotFields count="12">
    <pivotField compact="0" outline="0" showAll="0"/>
    <pivotField axis="axisRow" compact="0" outline="0" showAll="0" sortType="descending">
      <items count="11">
        <item x="0"/>
        <item x="3"/>
        <item x="1"/>
        <item x="2"/>
        <item x="4"/>
        <item x="5"/>
        <item x="6"/>
        <item x="7"/>
        <item x="9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1">
    <i>
      <x v="7"/>
    </i>
    <i>
      <x v="3"/>
    </i>
    <i>
      <x v="8"/>
    </i>
    <i>
      <x v="1"/>
    </i>
    <i>
      <x v="2"/>
    </i>
    <i>
      <x v="9"/>
    </i>
    <i>
      <x/>
    </i>
    <i>
      <x v="5"/>
    </i>
    <i>
      <x v="6"/>
    </i>
    <i>
      <x v="4"/>
    </i>
    <i t="grand">
      <x/>
    </i>
  </rowItems>
  <colItems count="1">
    <i/>
  </colItems>
  <dataFields count="1">
    <dataField name="Suma de Composición Corriente" fld="4" baseField="0" baseItem="0"/>
  </dataFields>
  <chartFormats count="44"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BFB36C-54F6-4B94-A5FF-B3995973AB72}" name="Tabla dinámica1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4">
  <location ref="A87:B98" firstHeaderRow="1" firstDataRow="1" firstDataCol="1"/>
  <pivotFields count="12">
    <pivotField compact="0" outline="0" showAll="0"/>
    <pivotField axis="axisRow" compact="0" outline="0" showAll="0" sortType="descending">
      <items count="11">
        <item x="0"/>
        <item x="3"/>
        <item x="1"/>
        <item x="2"/>
        <item x="4"/>
        <item x="5"/>
        <item x="6"/>
        <item x="7"/>
        <item x="9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1">
    <i>
      <x v="3"/>
    </i>
    <i>
      <x v="7"/>
    </i>
    <i>
      <x v="5"/>
    </i>
    <i>
      <x v="6"/>
    </i>
    <i>
      <x v="2"/>
    </i>
    <i>
      <x v="8"/>
    </i>
    <i>
      <x v="9"/>
    </i>
    <i>
      <x v="1"/>
    </i>
    <i>
      <x/>
    </i>
    <i>
      <x v="4"/>
    </i>
    <i t="grand">
      <x/>
    </i>
  </rowItems>
  <colItems count="1">
    <i/>
  </colItems>
  <dataFields count="1">
    <dataField name="Suma de Per Cápita Corriente" fld="6" baseField="0" baseItem="0"/>
  </dataFields>
  <chartFormats count="1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D62B0F-3638-41D9-9B41-027ACD40B0A0}" name="TablaDinámica21" cacheId="2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21">
  <location ref="A52:B62" firstHeaderRow="1" firstDataRow="1" firstDataCol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3"/>
        <item x="1"/>
        <item x="2"/>
        <item x="4"/>
        <item x="5"/>
        <item x="6"/>
        <item x="7"/>
        <item x="10"/>
        <item h="1"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4">
        <item x="67"/>
        <item x="64"/>
        <item x="66"/>
        <item x="65"/>
        <item x="68"/>
        <item x="63"/>
        <item x="62"/>
        <item x="61"/>
        <item x="69"/>
        <item x="60"/>
        <item x="59"/>
        <item x="58"/>
        <item x="56"/>
        <item x="57"/>
        <item x="93"/>
        <item x="94"/>
        <item x="92"/>
        <item x="95"/>
        <item x="96"/>
        <item x="90"/>
        <item x="89"/>
        <item x="91"/>
        <item x="88"/>
        <item x="97"/>
        <item x="87"/>
        <item x="86"/>
        <item x="5"/>
        <item x="0"/>
        <item x="6"/>
        <item x="7"/>
        <item x="4"/>
        <item x="10"/>
        <item x="9"/>
        <item x="8"/>
        <item x="80"/>
        <item x="81"/>
        <item x="79"/>
        <item x="82"/>
        <item x="76"/>
        <item x="84"/>
        <item x="12"/>
        <item x="78"/>
        <item x="75"/>
        <item x="3"/>
        <item x="11"/>
        <item x="85"/>
        <item x="74"/>
        <item x="71"/>
        <item x="70"/>
        <item x="77"/>
        <item x="83"/>
        <item x="73"/>
        <item x="2"/>
        <item x="1"/>
        <item x="72"/>
        <item x="13"/>
        <item x="123"/>
        <item x="124"/>
        <item x="122"/>
        <item x="121"/>
        <item x="118"/>
        <item x="120"/>
        <item x="125"/>
        <item x="117"/>
        <item x="116"/>
        <item x="119"/>
        <item x="126"/>
        <item x="114"/>
        <item x="24"/>
        <item x="115"/>
        <item x="25"/>
        <item x="23"/>
        <item x="113"/>
        <item x="26"/>
        <item x="19"/>
        <item x="22"/>
        <item x="27"/>
        <item x="18"/>
        <item x="20"/>
        <item x="21"/>
        <item x="17"/>
        <item x="16"/>
        <item x="15"/>
        <item x="14"/>
        <item x="127"/>
        <item x="49"/>
        <item x="48"/>
        <item x="52"/>
        <item x="53"/>
        <item x="54"/>
        <item x="51"/>
        <item x="50"/>
        <item x="46"/>
        <item x="47"/>
        <item x="131"/>
        <item x="130"/>
        <item x="132"/>
        <item x="55"/>
        <item x="43"/>
        <item x="42"/>
        <item x="133"/>
        <item x="45"/>
        <item x="129"/>
        <item x="44"/>
        <item x="128"/>
        <item x="35"/>
        <item x="34"/>
        <item x="36"/>
        <item x="33"/>
        <item x="32"/>
        <item x="31"/>
        <item x="30"/>
        <item x="28"/>
        <item x="29"/>
        <item x="37"/>
        <item x="41"/>
        <item x="38"/>
        <item x="40"/>
        <item x="39"/>
        <item x="112"/>
        <item x="111"/>
        <item x="110"/>
        <item x="109"/>
        <item x="108"/>
        <item x="107"/>
        <item x="99"/>
        <item x="98"/>
        <item x="106"/>
        <item x="100"/>
        <item x="101"/>
        <item x="102"/>
        <item x="104"/>
        <item x="105"/>
        <item x="10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147">
        <item x="56"/>
        <item x="58"/>
        <item x="64"/>
        <item x="59"/>
        <item x="63"/>
        <item x="61"/>
        <item x="60"/>
        <item x="65"/>
        <item x="62"/>
        <item x="67"/>
        <item x="66"/>
        <item x="57"/>
        <item x="69"/>
        <item x="68"/>
        <item x="0"/>
        <item x="123"/>
        <item x="42"/>
        <item x="124"/>
        <item x="125"/>
        <item x="126"/>
        <item x="43"/>
        <item x="3"/>
        <item x="4"/>
        <item x="127"/>
        <item x="5"/>
        <item x="46"/>
        <item x="128"/>
        <item x="44"/>
        <item x="45"/>
        <item x="16"/>
        <item x="70"/>
        <item x="2"/>
        <item x="6"/>
        <item x="47"/>
        <item x="17"/>
        <item x="14"/>
        <item x="48"/>
        <item x="7"/>
        <item x="71"/>
        <item x="86"/>
        <item x="49"/>
        <item x="15"/>
        <item x="18"/>
        <item x="1"/>
        <item x="130"/>
        <item x="87"/>
        <item x="8"/>
        <item x="84"/>
        <item x="9"/>
        <item x="131"/>
        <item x="19"/>
        <item x="88"/>
        <item x="10"/>
        <item x="50"/>
        <item x="129"/>
        <item x="55"/>
        <item x="132"/>
        <item x="51"/>
        <item x="73"/>
        <item x="72"/>
        <item x="12"/>
        <item x="89"/>
        <item x="11"/>
        <item x="133"/>
        <item x="74"/>
        <item x="136"/>
        <item x="52"/>
        <item x="137"/>
        <item x="20"/>
        <item x="27"/>
        <item x="85"/>
        <item x="134"/>
        <item x="53"/>
        <item x="90"/>
        <item x="13"/>
        <item x="75"/>
        <item x="54"/>
        <item x="23"/>
        <item x="22"/>
        <item x="21"/>
        <item x="24"/>
        <item x="135"/>
        <item x="76"/>
        <item x="143"/>
        <item x="91"/>
        <item x="92"/>
        <item x="25"/>
        <item x="93"/>
        <item x="26"/>
        <item x="97"/>
        <item x="141"/>
        <item x="78"/>
        <item x="94"/>
        <item x="79"/>
        <item x="140"/>
        <item x="77"/>
        <item x="95"/>
        <item x="142"/>
        <item x="83"/>
        <item x="139"/>
        <item x="96"/>
        <item x="80"/>
        <item x="138"/>
        <item x="81"/>
        <item x="82"/>
        <item x="103"/>
        <item x="105"/>
        <item x="104"/>
        <item x="106"/>
        <item x="107"/>
        <item x="108"/>
        <item x="146"/>
        <item x="109"/>
        <item x="98"/>
        <item x="110"/>
        <item x="100"/>
        <item x="99"/>
        <item x="111"/>
        <item x="112"/>
        <item x="101"/>
        <item x="113"/>
        <item x="144"/>
        <item x="145"/>
        <item x="28"/>
        <item x="102"/>
        <item x="30"/>
        <item x="31"/>
        <item x="35"/>
        <item x="29"/>
        <item x="114"/>
        <item x="34"/>
        <item x="32"/>
        <item x="115"/>
        <item x="33"/>
        <item x="122"/>
        <item x="36"/>
        <item x="118"/>
        <item x="117"/>
        <item x="116"/>
        <item x="119"/>
        <item x="120"/>
        <item x="121"/>
        <item x="37"/>
        <item x="41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</rowItems>
  <colItems count="1">
    <i/>
  </colItems>
  <dataFields count="1">
    <dataField name="Suma de Per Cápita Constante" fld="5" baseField="0" baseItem="0"/>
  </dataFields>
  <chartFormats count="1">
    <chartFormat chart="6" format="4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Dinámica9" cacheId="2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7">
  <location ref="A71:B81" firstHeaderRow="1" firstDataRow="1" firstDataCol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3"/>
        <item x="1"/>
        <item x="2"/>
        <item x="4"/>
        <item x="5"/>
        <item x="6"/>
        <item x="7"/>
        <item x="10"/>
        <item h="1"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</rowItems>
  <colItems count="1">
    <i/>
  </colItems>
  <dataFields count="1">
    <dataField name="Suma de Composición Corriente" fld="4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L72" totalsRowCount="1">
  <autoFilter ref="A1:L71" xr:uid="{00000000-0009-0000-0100-000001000000}"/>
  <sortState xmlns:xlrd2="http://schemas.microsoft.com/office/spreadsheetml/2017/richdata2" ref="A2:L71">
    <sortCondition ref="A1:A71"/>
  </sortState>
  <tableColumns count="12">
    <tableColumn id="1" xr3:uid="{00000000-0010-0000-0000-000001000000}" name="Código Provincia"/>
    <tableColumn id="2" xr3:uid="{00000000-0010-0000-0000-000002000000}" name="Provincia"/>
    <tableColumn id="3" xr3:uid="{00000000-0010-0000-0000-000003000000}" name="Año"/>
    <tableColumn id="4" xr3:uid="{00000000-0010-0000-0000-000004000000}" name="Composición Constante"/>
    <tableColumn id="5" xr3:uid="{00000000-0010-0000-0000-000005000000}" name="Composición Corriente"/>
    <tableColumn id="6" xr3:uid="{00000000-0010-0000-0000-000006000000}" name="Per Cápita Constante"/>
    <tableColumn id="7" xr3:uid="{00000000-0010-0000-0000-000007000000}" name="Per Cápita Corriente"/>
    <tableColumn id="8" xr3:uid="{00000000-0010-0000-0000-000008000000}" name="Valor Constante"/>
    <tableColumn id="9" xr3:uid="{00000000-0010-0000-0000-000009000000}" name="Valor Corriente"/>
    <tableColumn id="10" xr3:uid="{00000000-0010-0000-0000-00000A000000}" name="Valores"/>
    <tableColumn id="11" xr3:uid="{00000000-0010-0000-0000-00000B000000}" name="Variación Porcentual Constante" totalsRowDxfId="0" totalsRowCellStyle="Porcentaje"/>
    <tableColumn id="12" xr3:uid="{00000000-0010-0000-0000-00000C000000}" name="Variación Porcentual Corrie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71"/>
  <sheetViews>
    <sheetView workbookViewId="0">
      <selection activeCell="D2" sqref="D2"/>
    </sheetView>
  </sheetViews>
  <sheetFormatPr baseColWidth="10" defaultRowHeight="15" x14ac:dyDescent="0.25"/>
  <cols>
    <col min="1" max="1" width="17" customWidth="1"/>
    <col min="2" max="2" width="19" customWidth="1"/>
    <col min="3" max="3" width="16.140625" customWidth="1"/>
    <col min="4" max="4" width="25" customWidth="1"/>
    <col min="5" max="5" width="25.140625" customWidth="1"/>
    <col min="6" max="6" width="23.85546875" customWidth="1"/>
    <col min="7" max="7" width="19.7109375" customWidth="1"/>
    <col min="8" max="8" width="17.42578125" customWidth="1"/>
    <col min="9" max="9" width="16.140625" customWidth="1"/>
    <col min="11" max="11" width="29.28515625" style="2" customWidth="1"/>
    <col min="12" max="12" width="28.5703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2" t="s">
        <v>10</v>
      </c>
      <c r="L1" t="s">
        <v>11</v>
      </c>
    </row>
    <row r="2" spans="1:12" x14ac:dyDescent="0.25">
      <c r="A2">
        <v>1</v>
      </c>
      <c r="B2" t="s">
        <v>12</v>
      </c>
      <c r="C2">
        <v>2014</v>
      </c>
      <c r="D2">
        <v>1.2677984250000001</v>
      </c>
      <c r="E2">
        <v>1.262574428</v>
      </c>
      <c r="F2">
        <v>2869.4864433460002</v>
      </c>
      <c r="G2">
        <v>4146.5727415680003</v>
      </c>
      <c r="H2">
        <v>436.17341733400002</v>
      </c>
      <c r="I2">
        <v>630.29564300899995</v>
      </c>
      <c r="J2">
        <v>630.29564300899995</v>
      </c>
      <c r="K2" s="2">
        <v>5.1748825299999996</v>
      </c>
      <c r="L2">
        <v>3.703681628</v>
      </c>
    </row>
    <row r="3" spans="1:12" x14ac:dyDescent="0.25">
      <c r="A3">
        <v>1</v>
      </c>
      <c r="B3" t="s">
        <v>12</v>
      </c>
      <c r="C3">
        <v>2015</v>
      </c>
      <c r="D3">
        <v>1.322684499</v>
      </c>
      <c r="E3">
        <v>1.2744715390000001</v>
      </c>
      <c r="F3">
        <v>3074.8327653289998</v>
      </c>
      <c r="G3">
        <v>4405.6255913269997</v>
      </c>
      <c r="H3">
        <v>481.143681453</v>
      </c>
      <c r="I3">
        <v>689.38348127999996</v>
      </c>
      <c r="J3">
        <v>689.38348127999996</v>
      </c>
      <c r="K3" s="2">
        <v>10.310179926</v>
      </c>
      <c r="L3">
        <v>9.3746226749999995</v>
      </c>
    </row>
    <row r="4" spans="1:12" x14ac:dyDescent="0.25">
      <c r="A4">
        <v>1</v>
      </c>
      <c r="B4" t="s">
        <v>12</v>
      </c>
      <c r="C4">
        <v>2016</v>
      </c>
      <c r="D4">
        <v>1.3107696019999999</v>
      </c>
      <c r="E4">
        <v>1.287107894</v>
      </c>
      <c r="F4">
        <v>3108.3620336479999</v>
      </c>
      <c r="G4">
        <v>4629.5794789780002</v>
      </c>
      <c r="H4">
        <v>500.42763724500003</v>
      </c>
      <c r="I4">
        <v>745.33451863899995</v>
      </c>
      <c r="J4">
        <v>745.33451863899995</v>
      </c>
      <c r="K4" s="2">
        <v>4.0079411900000004</v>
      </c>
      <c r="L4">
        <v>8.1160977709999997</v>
      </c>
    </row>
    <row r="5" spans="1:12" x14ac:dyDescent="0.25">
      <c r="A5">
        <v>1</v>
      </c>
      <c r="B5" t="s">
        <v>12</v>
      </c>
      <c r="C5">
        <v>2017</v>
      </c>
      <c r="D5">
        <v>1.3057243009999999</v>
      </c>
      <c r="E5">
        <v>1.2673509080000001</v>
      </c>
      <c r="F5">
        <v>3178.1664647379998</v>
      </c>
      <c r="G5">
        <v>4759.7952121839999</v>
      </c>
      <c r="H5">
        <v>526.37428622300001</v>
      </c>
      <c r="I5">
        <v>788.32680263199995</v>
      </c>
      <c r="J5">
        <v>788.32680263199995</v>
      </c>
      <c r="K5" s="2">
        <v>5.1848952869999998</v>
      </c>
      <c r="L5">
        <v>5.768186354</v>
      </c>
    </row>
    <row r="6" spans="1:12" x14ac:dyDescent="0.25">
      <c r="A6">
        <v>1</v>
      </c>
      <c r="B6" t="s">
        <v>12</v>
      </c>
      <c r="C6">
        <v>2018</v>
      </c>
      <c r="D6">
        <v>1.3588635570000001</v>
      </c>
      <c r="E6">
        <v>1.3087777140000001</v>
      </c>
      <c r="F6">
        <v>3334.8073954279998</v>
      </c>
      <c r="G6">
        <v>4989.3238459450004</v>
      </c>
      <c r="H6">
        <v>567.98439558899997</v>
      </c>
      <c r="I6">
        <v>849.78163744100004</v>
      </c>
      <c r="J6">
        <v>849.78163744100004</v>
      </c>
      <c r="K6" s="2">
        <v>7.9050421829999999</v>
      </c>
      <c r="L6">
        <v>7.7956038789999997</v>
      </c>
    </row>
    <row r="7" spans="1:12" x14ac:dyDescent="0.25">
      <c r="A7">
        <v>1</v>
      </c>
      <c r="B7" t="s">
        <v>12</v>
      </c>
      <c r="C7">
        <v>2019</v>
      </c>
      <c r="D7">
        <v>1.352719751</v>
      </c>
      <c r="E7">
        <v>1.160151004</v>
      </c>
      <c r="F7">
        <v>3324.9249209310001</v>
      </c>
      <c r="G7">
        <v>4437.6202982790001</v>
      </c>
      <c r="H7">
        <v>582.26417707799999</v>
      </c>
      <c r="I7">
        <v>777.12050425500001</v>
      </c>
      <c r="J7">
        <v>777.12050425500001</v>
      </c>
      <c r="K7" s="2">
        <v>2.5141151060000002</v>
      </c>
      <c r="L7">
        <v>-8.5505652259999998</v>
      </c>
    </row>
    <row r="8" spans="1:12" x14ac:dyDescent="0.25">
      <c r="A8">
        <v>1</v>
      </c>
      <c r="B8" t="s">
        <v>12</v>
      </c>
      <c r="C8">
        <v>2020</v>
      </c>
      <c r="D8">
        <v>1.8042642529999999</v>
      </c>
      <c r="E8">
        <v>1.5660634680000001</v>
      </c>
      <c r="F8">
        <v>3540.5422221929998</v>
      </c>
      <c r="G8">
        <v>4696.4534567350001</v>
      </c>
      <c r="H8">
        <v>637.262194572</v>
      </c>
      <c r="I8">
        <v>845.314657678</v>
      </c>
      <c r="J8">
        <v>845.314657678</v>
      </c>
      <c r="K8" s="2">
        <v>9.4455437339999992</v>
      </c>
      <c r="L8">
        <v>8.7752353779999996</v>
      </c>
    </row>
    <row r="9" spans="1:12" x14ac:dyDescent="0.25">
      <c r="A9">
        <v>2</v>
      </c>
      <c r="B9" t="s">
        <v>13</v>
      </c>
      <c r="C9">
        <v>2014</v>
      </c>
      <c r="D9">
        <v>2.7215683909999999</v>
      </c>
      <c r="E9">
        <v>2.9379506470000001</v>
      </c>
      <c r="F9">
        <v>3677.6308454199998</v>
      </c>
      <c r="G9">
        <v>5760.652886416</v>
      </c>
      <c r="H9">
        <v>936.32849087499994</v>
      </c>
      <c r="I9">
        <v>1466.6679855340001</v>
      </c>
      <c r="J9">
        <v>1466.6679855340001</v>
      </c>
      <c r="K9" s="2">
        <v>7.5201690980000002</v>
      </c>
      <c r="L9">
        <v>12.925661746999999</v>
      </c>
    </row>
    <row r="10" spans="1:12" x14ac:dyDescent="0.25">
      <c r="A10">
        <v>2</v>
      </c>
      <c r="B10" t="s">
        <v>13</v>
      </c>
      <c r="C10">
        <v>2015</v>
      </c>
      <c r="D10">
        <v>2.5875494099999998</v>
      </c>
      <c r="E10">
        <v>2.798949538</v>
      </c>
      <c r="F10">
        <v>3662.8973654890001</v>
      </c>
      <c r="G10">
        <v>5891.7373153380004</v>
      </c>
      <c r="H10">
        <v>941.25473600999999</v>
      </c>
      <c r="I10">
        <v>1513.9997379230001</v>
      </c>
      <c r="J10">
        <v>1513.9997379230001</v>
      </c>
      <c r="K10" s="2">
        <v>0.526123597</v>
      </c>
      <c r="L10">
        <v>3.227162034</v>
      </c>
    </row>
    <row r="11" spans="1:12" x14ac:dyDescent="0.25">
      <c r="A11">
        <v>2</v>
      </c>
      <c r="B11" t="s">
        <v>13</v>
      </c>
      <c r="C11">
        <v>2016</v>
      </c>
      <c r="D11">
        <v>2.4405061670000001</v>
      </c>
      <c r="E11">
        <v>2.7510089369999999</v>
      </c>
      <c r="F11">
        <v>3592.9855666530002</v>
      </c>
      <c r="G11">
        <v>6143.1188867740002</v>
      </c>
      <c r="H11">
        <v>931.74020311499999</v>
      </c>
      <c r="I11">
        <v>1593.0458759559999</v>
      </c>
      <c r="J11">
        <v>1593.0458759559999</v>
      </c>
      <c r="K11" s="2">
        <v>-1.010835062</v>
      </c>
      <c r="L11">
        <v>5.2210139839999998</v>
      </c>
    </row>
    <row r="12" spans="1:12" x14ac:dyDescent="0.25">
      <c r="A12">
        <v>2</v>
      </c>
      <c r="B12" t="s">
        <v>13</v>
      </c>
      <c r="C12">
        <v>2017</v>
      </c>
      <c r="D12">
        <v>2.3853742649999998</v>
      </c>
      <c r="E12">
        <v>2.676419664</v>
      </c>
      <c r="F12">
        <v>3679.9789975879999</v>
      </c>
      <c r="G12">
        <v>6371.0242238150004</v>
      </c>
      <c r="H12">
        <v>961.61163188099999</v>
      </c>
      <c r="I12">
        <v>1664.8059689009999</v>
      </c>
      <c r="J12">
        <v>1664.8059689009999</v>
      </c>
      <c r="K12" s="2">
        <v>3.2059825970000002</v>
      </c>
      <c r="L12">
        <v>4.5045842069999997</v>
      </c>
    </row>
    <row r="13" spans="1:12" x14ac:dyDescent="0.25">
      <c r="A13">
        <v>2</v>
      </c>
      <c r="B13" t="s">
        <v>13</v>
      </c>
      <c r="C13">
        <v>2018</v>
      </c>
      <c r="D13">
        <v>2.422274303</v>
      </c>
      <c r="E13">
        <v>2.6777979410000001</v>
      </c>
      <c r="F13">
        <v>3845.9966014450001</v>
      </c>
      <c r="G13">
        <v>6604.5658681929999</v>
      </c>
      <c r="H13">
        <v>1012.473989317</v>
      </c>
      <c r="I13">
        <v>1738.6783830649999</v>
      </c>
      <c r="J13">
        <v>1738.6783830649999</v>
      </c>
      <c r="K13" s="2">
        <v>5.2892826739999999</v>
      </c>
      <c r="L13">
        <v>4.4372987330000004</v>
      </c>
    </row>
    <row r="14" spans="1:12" x14ac:dyDescent="0.25">
      <c r="A14">
        <v>2</v>
      </c>
      <c r="B14" t="s">
        <v>13</v>
      </c>
      <c r="C14">
        <v>2019</v>
      </c>
      <c r="D14">
        <v>2.4834812579999999</v>
      </c>
      <c r="E14">
        <v>2.7497831370000001</v>
      </c>
      <c r="F14">
        <v>4031.6528879530001</v>
      </c>
      <c r="G14">
        <v>6946.7600571450002</v>
      </c>
      <c r="H14">
        <v>1068.9887315880001</v>
      </c>
      <c r="I14">
        <v>1841.926482392</v>
      </c>
      <c r="J14">
        <v>1841.926482392</v>
      </c>
      <c r="K14" s="2">
        <v>5.5818463349999998</v>
      </c>
      <c r="L14">
        <v>5.938309254</v>
      </c>
    </row>
    <row r="15" spans="1:12" x14ac:dyDescent="0.25">
      <c r="A15">
        <v>2</v>
      </c>
      <c r="B15" t="s">
        <v>13</v>
      </c>
      <c r="C15">
        <v>2020</v>
      </c>
      <c r="D15">
        <v>2.6197727670000002</v>
      </c>
      <c r="E15">
        <v>2.9429458149999999</v>
      </c>
      <c r="F15">
        <v>3465.938071049</v>
      </c>
      <c r="G15">
        <v>5950.1850451600003</v>
      </c>
      <c r="H15">
        <v>925.29802088999998</v>
      </c>
      <c r="I15">
        <v>1588.5149513209999</v>
      </c>
      <c r="J15">
        <v>1588.5149513209999</v>
      </c>
      <c r="K15" s="2">
        <v>-13.441742316999999</v>
      </c>
      <c r="L15">
        <v>-13.757961216</v>
      </c>
    </row>
    <row r="16" spans="1:12" x14ac:dyDescent="0.25">
      <c r="A16">
        <v>3</v>
      </c>
      <c r="B16" t="s">
        <v>14</v>
      </c>
      <c r="C16">
        <v>2014</v>
      </c>
      <c r="D16">
        <v>10.167299583</v>
      </c>
      <c r="E16">
        <v>10.192145582</v>
      </c>
      <c r="F16">
        <v>11141.839184823</v>
      </c>
      <c r="G16">
        <v>16206.723167213</v>
      </c>
      <c r="H16">
        <v>3497.9581283970001</v>
      </c>
      <c r="I16">
        <v>5088.0683249000003</v>
      </c>
      <c r="J16">
        <v>5088.0683249000003</v>
      </c>
      <c r="K16" s="2">
        <v>-2.1674893609999999</v>
      </c>
      <c r="L16">
        <v>0.57851609999999998</v>
      </c>
    </row>
    <row r="17" spans="1:12" x14ac:dyDescent="0.25">
      <c r="A17">
        <v>3</v>
      </c>
      <c r="B17" t="s">
        <v>14</v>
      </c>
      <c r="C17">
        <v>2015</v>
      </c>
      <c r="D17">
        <v>12.018596007999999</v>
      </c>
      <c r="E17">
        <v>11.826457426999999</v>
      </c>
      <c r="F17">
        <v>13699.025006612001</v>
      </c>
      <c r="G17">
        <v>20044.849624252001</v>
      </c>
      <c r="H17">
        <v>4371.9205396349998</v>
      </c>
      <c r="I17">
        <v>6397.1333539329999</v>
      </c>
      <c r="J17">
        <v>6397.1333539329999</v>
      </c>
      <c r="K17" s="2">
        <v>24.984930613</v>
      </c>
      <c r="L17">
        <v>25.728133849999999</v>
      </c>
    </row>
    <row r="18" spans="1:12" x14ac:dyDescent="0.25">
      <c r="A18">
        <v>3</v>
      </c>
      <c r="B18" t="s">
        <v>14</v>
      </c>
      <c r="C18">
        <v>2016</v>
      </c>
      <c r="D18">
        <v>14.682986721000001</v>
      </c>
      <c r="E18">
        <v>14.523892562</v>
      </c>
      <c r="F18">
        <v>17281.893660954</v>
      </c>
      <c r="G18">
        <v>25928.733617645001</v>
      </c>
      <c r="H18">
        <v>5605.6932830160004</v>
      </c>
      <c r="I18">
        <v>8410.4514660879995</v>
      </c>
      <c r="J18">
        <v>8410.4514660879995</v>
      </c>
      <c r="K18" s="2">
        <v>28.220383517999998</v>
      </c>
      <c r="L18">
        <v>31.472192321000001</v>
      </c>
    </row>
    <row r="19" spans="1:12" x14ac:dyDescent="0.25">
      <c r="A19">
        <v>3</v>
      </c>
      <c r="B19" t="s">
        <v>14</v>
      </c>
      <c r="C19">
        <v>2017</v>
      </c>
      <c r="D19">
        <v>17.163721643999999</v>
      </c>
      <c r="E19">
        <v>17.069455076000001</v>
      </c>
      <c r="F19">
        <v>20988.837586551999</v>
      </c>
      <c r="G19">
        <v>32207.930094173</v>
      </c>
      <c r="H19">
        <v>6919.1801987830004</v>
      </c>
      <c r="I19">
        <v>10617.666234845001</v>
      </c>
      <c r="J19">
        <v>10617.666234845001</v>
      </c>
      <c r="K19" s="2">
        <v>23.431301883</v>
      </c>
      <c r="L19">
        <v>26.243713284999998</v>
      </c>
    </row>
    <row r="20" spans="1:12" x14ac:dyDescent="0.25">
      <c r="A20">
        <v>3</v>
      </c>
      <c r="B20" t="s">
        <v>14</v>
      </c>
      <c r="C20">
        <v>2018</v>
      </c>
      <c r="D20">
        <v>17.756989264000001</v>
      </c>
      <c r="E20">
        <v>17.839231397999999</v>
      </c>
      <c r="F20">
        <v>22155.679699242999</v>
      </c>
      <c r="G20">
        <v>34575.843446952997</v>
      </c>
      <c r="H20">
        <v>7422.1526992460003</v>
      </c>
      <c r="I20">
        <v>11582.907554728999</v>
      </c>
      <c r="J20">
        <v>11582.907554728999</v>
      </c>
      <c r="K20" s="2">
        <v>7.2692499110000002</v>
      </c>
      <c r="L20">
        <v>9.0908990589999998</v>
      </c>
    </row>
    <row r="21" spans="1:12" x14ac:dyDescent="0.25">
      <c r="A21">
        <v>3</v>
      </c>
      <c r="B21" t="s">
        <v>14</v>
      </c>
      <c r="C21">
        <v>2019</v>
      </c>
      <c r="D21">
        <v>17.712421850999998</v>
      </c>
      <c r="E21">
        <v>17.807669778000001</v>
      </c>
      <c r="F21">
        <v>22402.360525096999</v>
      </c>
      <c r="G21">
        <v>35049.718622492997</v>
      </c>
      <c r="H21">
        <v>7624.1281504250001</v>
      </c>
      <c r="I21">
        <v>11928.365589637</v>
      </c>
      <c r="J21">
        <v>11928.365589637</v>
      </c>
      <c r="K21" s="2">
        <v>2.7212516280000001</v>
      </c>
      <c r="L21">
        <v>2.9824811539999998</v>
      </c>
    </row>
    <row r="22" spans="1:12" x14ac:dyDescent="0.25">
      <c r="A22">
        <v>3</v>
      </c>
      <c r="B22" t="s">
        <v>14</v>
      </c>
      <c r="C22">
        <v>2020</v>
      </c>
      <c r="D22">
        <v>16.929334319999999</v>
      </c>
      <c r="E22">
        <v>17.193679643999999</v>
      </c>
      <c r="F22">
        <v>17297.261716650999</v>
      </c>
      <c r="G22">
        <v>26847.097277433</v>
      </c>
      <c r="H22">
        <v>5979.4039165209997</v>
      </c>
      <c r="I22">
        <v>9280.6388223489994</v>
      </c>
      <c r="J22">
        <v>9280.6388223489994</v>
      </c>
      <c r="K22" s="2">
        <v>-21.572620521000001</v>
      </c>
      <c r="L22">
        <v>-22.19689485</v>
      </c>
    </row>
    <row r="23" spans="1:12" x14ac:dyDescent="0.25">
      <c r="A23">
        <v>4</v>
      </c>
      <c r="B23" t="s">
        <v>15</v>
      </c>
      <c r="C23">
        <v>2014</v>
      </c>
      <c r="D23">
        <v>5.4168408760000002</v>
      </c>
      <c r="E23">
        <v>4.9931563140000002</v>
      </c>
      <c r="F23">
        <v>2906.4820579799998</v>
      </c>
      <c r="G23">
        <v>3887.5416994550001</v>
      </c>
      <c r="H23">
        <v>1863.6101372380001</v>
      </c>
      <c r="I23">
        <v>2492.6567498149998</v>
      </c>
      <c r="J23">
        <v>2492.6567498149998</v>
      </c>
      <c r="K23" s="2">
        <v>3.2096888190000001</v>
      </c>
      <c r="L23">
        <v>4.9192961310000003</v>
      </c>
    </row>
    <row r="24" spans="1:12" x14ac:dyDescent="0.25">
      <c r="A24">
        <v>4</v>
      </c>
      <c r="B24" t="s">
        <v>15</v>
      </c>
      <c r="C24">
        <v>2015</v>
      </c>
      <c r="D24">
        <v>5.7011622370000001</v>
      </c>
      <c r="E24">
        <v>5.2186007339999998</v>
      </c>
      <c r="F24">
        <v>3194.4201686649999</v>
      </c>
      <c r="G24">
        <v>4348.0538974589999</v>
      </c>
      <c r="H24">
        <v>2073.87187864</v>
      </c>
      <c r="I24">
        <v>2822.8305071459999</v>
      </c>
      <c r="J24">
        <v>2822.8305071459999</v>
      </c>
      <c r="K24" s="2">
        <v>11.282496118999999</v>
      </c>
      <c r="L24">
        <v>13.245857351</v>
      </c>
    </row>
    <row r="25" spans="1:12" x14ac:dyDescent="0.25">
      <c r="A25">
        <v>4</v>
      </c>
      <c r="B25" t="s">
        <v>15</v>
      </c>
      <c r="C25">
        <v>2016</v>
      </c>
      <c r="D25">
        <v>5.680873364</v>
      </c>
      <c r="E25">
        <v>5.3189701679999999</v>
      </c>
      <c r="F25">
        <v>3299.799445135</v>
      </c>
      <c r="G25">
        <v>4686.2056934169996</v>
      </c>
      <c r="H25">
        <v>2168.8525817049999</v>
      </c>
      <c r="I25">
        <v>3080.0930437010002</v>
      </c>
      <c r="J25">
        <v>3080.0930437010002</v>
      </c>
      <c r="K25" s="2">
        <v>4.5798732329999998</v>
      </c>
      <c r="L25">
        <v>9.1136373899999992</v>
      </c>
    </row>
    <row r="26" spans="1:12" x14ac:dyDescent="0.25">
      <c r="A26">
        <v>4</v>
      </c>
      <c r="B26" t="s">
        <v>15</v>
      </c>
      <c r="C26">
        <v>2017</v>
      </c>
      <c r="D26">
        <v>5.5829493230000002</v>
      </c>
      <c r="E26">
        <v>5.2138382459999999</v>
      </c>
      <c r="F26">
        <v>3382.891239046</v>
      </c>
      <c r="G26">
        <v>4874.7027313110002</v>
      </c>
      <c r="H26">
        <v>2250.6443071200001</v>
      </c>
      <c r="I26">
        <v>3243.1494765470002</v>
      </c>
      <c r="J26">
        <v>3243.1494765470002</v>
      </c>
      <c r="K26" s="2">
        <v>3.7711980110000001</v>
      </c>
      <c r="L26">
        <v>5.2938801050000004</v>
      </c>
    </row>
    <row r="27" spans="1:12" x14ac:dyDescent="0.25">
      <c r="A27">
        <v>4</v>
      </c>
      <c r="B27" t="s">
        <v>15</v>
      </c>
      <c r="C27">
        <v>2018</v>
      </c>
      <c r="D27">
        <v>5.6399486349999997</v>
      </c>
      <c r="E27">
        <v>5.2528935289999996</v>
      </c>
      <c r="F27">
        <v>3500.9335910499999</v>
      </c>
      <c r="G27">
        <v>5065.1022918360004</v>
      </c>
      <c r="H27">
        <v>2357.4131494049998</v>
      </c>
      <c r="I27">
        <v>3410.6727349470002</v>
      </c>
      <c r="J27">
        <v>3410.6727349470002</v>
      </c>
      <c r="K27" s="2">
        <v>4.7439234160000003</v>
      </c>
      <c r="L27">
        <v>5.165449808</v>
      </c>
    </row>
    <row r="28" spans="1:12" x14ac:dyDescent="0.25">
      <c r="A28">
        <v>4</v>
      </c>
      <c r="B28" t="s">
        <v>15</v>
      </c>
      <c r="C28">
        <v>2019</v>
      </c>
      <c r="D28">
        <v>5.6490296180000001</v>
      </c>
      <c r="E28">
        <v>5.2623035659999999</v>
      </c>
      <c r="F28">
        <v>3568.7056856150002</v>
      </c>
      <c r="G28">
        <v>5173.3800716409996</v>
      </c>
      <c r="H28">
        <v>2431.566168539</v>
      </c>
      <c r="I28">
        <v>3524.9238988530001</v>
      </c>
      <c r="J28">
        <v>3524.9238988530001</v>
      </c>
      <c r="K28" s="2">
        <v>3.1455249649999999</v>
      </c>
      <c r="L28">
        <v>3.349813154</v>
      </c>
    </row>
    <row r="29" spans="1:12" x14ac:dyDescent="0.25">
      <c r="A29">
        <v>4</v>
      </c>
      <c r="B29" t="s">
        <v>15</v>
      </c>
      <c r="C29">
        <v>2020</v>
      </c>
      <c r="D29">
        <v>6.3180944490000002</v>
      </c>
      <c r="E29">
        <v>5.9861324060000003</v>
      </c>
      <c r="F29">
        <v>3237.1096763710002</v>
      </c>
      <c r="G29">
        <v>4687.1478125109998</v>
      </c>
      <c r="H29">
        <v>2231.5371636129998</v>
      </c>
      <c r="I29">
        <v>3231.13690318</v>
      </c>
      <c r="J29">
        <v>3231.13690318</v>
      </c>
      <c r="K29" s="2">
        <v>-8.2263443009999992</v>
      </c>
      <c r="L29">
        <v>-8.3345627909999997</v>
      </c>
    </row>
    <row r="30" spans="1:12" x14ac:dyDescent="0.25">
      <c r="A30">
        <v>5</v>
      </c>
      <c r="B30" t="s">
        <v>16</v>
      </c>
      <c r="C30">
        <v>2014</v>
      </c>
      <c r="D30">
        <v>0.28056894700000001</v>
      </c>
      <c r="E30">
        <v>0.33542117900000001</v>
      </c>
      <c r="F30">
        <v>1478.818976021</v>
      </c>
      <c r="G30">
        <v>2565.3358112649998</v>
      </c>
      <c r="H30">
        <v>96.526951022000006</v>
      </c>
      <c r="I30">
        <v>167.44716440900001</v>
      </c>
      <c r="J30">
        <v>167.44716440900001</v>
      </c>
      <c r="K30" s="2">
        <v>-2.1090854870000002</v>
      </c>
      <c r="L30">
        <v>1.64380142</v>
      </c>
    </row>
    <row r="31" spans="1:12" x14ac:dyDescent="0.25">
      <c r="A31">
        <v>5</v>
      </c>
      <c r="B31" t="s">
        <v>16</v>
      </c>
      <c r="C31">
        <v>2015</v>
      </c>
      <c r="D31">
        <v>0.26224428399999999</v>
      </c>
      <c r="E31">
        <v>0.32058076499999999</v>
      </c>
      <c r="F31">
        <v>1441.640106675</v>
      </c>
      <c r="G31">
        <v>2620.5985381249998</v>
      </c>
      <c r="H31">
        <v>95.394767498999997</v>
      </c>
      <c r="I31">
        <v>173.40762586599999</v>
      </c>
      <c r="J31">
        <v>173.40762586599999</v>
      </c>
      <c r="K31" s="2">
        <v>-1.172919595</v>
      </c>
      <c r="L31">
        <v>3.559607282</v>
      </c>
    </row>
    <row r="32" spans="1:12" x14ac:dyDescent="0.25">
      <c r="A32">
        <v>5</v>
      </c>
      <c r="B32" t="s">
        <v>16</v>
      </c>
      <c r="C32">
        <v>2016</v>
      </c>
      <c r="D32">
        <v>0.26388583300000001</v>
      </c>
      <c r="E32">
        <v>0.32475137500000001</v>
      </c>
      <c r="F32">
        <v>1501.5312361220001</v>
      </c>
      <c r="G32">
        <v>2802.7905838400002</v>
      </c>
      <c r="H32">
        <v>100.746739819</v>
      </c>
      <c r="I32">
        <v>188.05603701300001</v>
      </c>
      <c r="J32">
        <v>188.05603701300001</v>
      </c>
      <c r="K32" s="2">
        <v>5.6103415950000004</v>
      </c>
      <c r="L32">
        <v>8.4473857900000002</v>
      </c>
    </row>
    <row r="33" spans="1:12" x14ac:dyDescent="0.25">
      <c r="A33">
        <v>5</v>
      </c>
      <c r="B33" t="s">
        <v>16</v>
      </c>
      <c r="C33">
        <v>2017</v>
      </c>
      <c r="D33">
        <v>0.26351048100000002</v>
      </c>
      <c r="E33">
        <v>0.32286636800000001</v>
      </c>
      <c r="F33">
        <v>1561.3343564520001</v>
      </c>
      <c r="G33">
        <v>2951.800924358</v>
      </c>
      <c r="H33">
        <v>106.22850561</v>
      </c>
      <c r="I33">
        <v>200.83167949099999</v>
      </c>
      <c r="J33">
        <v>200.83167949099999</v>
      </c>
      <c r="K33" s="2">
        <v>5.4411346719999996</v>
      </c>
      <c r="L33">
        <v>6.7935295670000002</v>
      </c>
    </row>
    <row r="34" spans="1:12" x14ac:dyDescent="0.25">
      <c r="A34">
        <v>5</v>
      </c>
      <c r="B34" t="s">
        <v>16</v>
      </c>
      <c r="C34">
        <v>2018</v>
      </c>
      <c r="D34">
        <v>0.25609838400000001</v>
      </c>
      <c r="E34">
        <v>0.30649527900000001</v>
      </c>
      <c r="F34">
        <v>1551.942694935</v>
      </c>
      <c r="G34">
        <v>2885.1841073639998</v>
      </c>
      <c r="H34">
        <v>107.045247383</v>
      </c>
      <c r="I34">
        <v>199.005573806</v>
      </c>
      <c r="J34">
        <v>199.005573806</v>
      </c>
      <c r="K34" s="2">
        <v>0.76885367900000001</v>
      </c>
      <c r="L34">
        <v>-0.90927172899999997</v>
      </c>
    </row>
    <row r="35" spans="1:12" x14ac:dyDescent="0.25">
      <c r="A35">
        <v>5</v>
      </c>
      <c r="B35" t="s">
        <v>16</v>
      </c>
      <c r="C35">
        <v>2019</v>
      </c>
      <c r="D35">
        <v>0.27035004800000001</v>
      </c>
      <c r="E35">
        <v>0.32442035899999999</v>
      </c>
      <c r="F35">
        <v>1664.4169054680001</v>
      </c>
      <c r="G35">
        <v>3108.1743662600002</v>
      </c>
      <c r="H35">
        <v>116.369372363</v>
      </c>
      <c r="I35">
        <v>217.311118991</v>
      </c>
      <c r="J35">
        <v>217.311118991</v>
      </c>
      <c r="K35" s="2">
        <v>8.7104520819999998</v>
      </c>
      <c r="L35">
        <v>9.1985087829999994</v>
      </c>
    </row>
    <row r="36" spans="1:12" x14ac:dyDescent="0.25">
      <c r="A36">
        <v>5</v>
      </c>
      <c r="B36" t="s">
        <v>16</v>
      </c>
      <c r="C36">
        <v>2020</v>
      </c>
      <c r="D36">
        <v>0.32005423500000002</v>
      </c>
      <c r="E36">
        <v>0.387142612</v>
      </c>
      <c r="F36">
        <v>1595.8784891390001</v>
      </c>
      <c r="G36">
        <v>2950.1102665240001</v>
      </c>
      <c r="H36">
        <v>113.0424569</v>
      </c>
      <c r="I36">
        <v>208.96811061899999</v>
      </c>
      <c r="J36">
        <v>208.96811061899999</v>
      </c>
      <c r="K36" s="2">
        <v>-2.8589270490000001</v>
      </c>
      <c r="L36">
        <v>-3.8391999499999998</v>
      </c>
    </row>
    <row r="37" spans="1:12" x14ac:dyDescent="0.25">
      <c r="A37">
        <v>6</v>
      </c>
      <c r="B37" t="s">
        <v>17</v>
      </c>
      <c r="C37">
        <v>2014</v>
      </c>
      <c r="D37">
        <v>1.4861915459999999</v>
      </c>
      <c r="E37">
        <v>1.463849167</v>
      </c>
      <c r="F37">
        <v>4339.5294345040002</v>
      </c>
      <c r="G37">
        <v>6202.15351594</v>
      </c>
      <c r="H37">
        <v>511.30939515</v>
      </c>
      <c r="I37">
        <v>730.77494016900005</v>
      </c>
      <c r="J37">
        <v>730.77494016900005</v>
      </c>
      <c r="K37" s="2">
        <v>15.690497648999999</v>
      </c>
      <c r="L37">
        <v>19.643101901000001</v>
      </c>
    </row>
    <row r="38" spans="1:12" x14ac:dyDescent="0.25">
      <c r="A38">
        <v>6</v>
      </c>
      <c r="B38" t="s">
        <v>17</v>
      </c>
      <c r="C38">
        <v>2015</v>
      </c>
      <c r="D38">
        <v>1.3549750890000001</v>
      </c>
      <c r="E38">
        <v>1.3192967529999999</v>
      </c>
      <c r="F38">
        <v>4173.8487864930003</v>
      </c>
      <c r="G38">
        <v>6043.1044695139999</v>
      </c>
      <c r="H38">
        <v>492.88980319699999</v>
      </c>
      <c r="I38">
        <v>713.63020680499994</v>
      </c>
      <c r="J38">
        <v>713.63020680499994</v>
      </c>
      <c r="K38" s="2">
        <v>-3.6024356540000002</v>
      </c>
      <c r="L38">
        <v>-2.3461030780000001</v>
      </c>
    </row>
    <row r="39" spans="1:12" x14ac:dyDescent="0.25">
      <c r="A39">
        <v>6</v>
      </c>
      <c r="B39" t="s">
        <v>17</v>
      </c>
      <c r="C39">
        <v>2016</v>
      </c>
      <c r="D39">
        <v>1.3398738830000001</v>
      </c>
      <c r="E39">
        <v>1.2517730979999999</v>
      </c>
      <c r="F39">
        <v>4322.8414039979998</v>
      </c>
      <c r="G39">
        <v>6125.6524165729998</v>
      </c>
      <c r="H39">
        <v>511.53911470100002</v>
      </c>
      <c r="I39">
        <v>724.87295306299995</v>
      </c>
      <c r="J39">
        <v>724.87295306299995</v>
      </c>
      <c r="K39" s="2">
        <v>3.7836675419999999</v>
      </c>
      <c r="L39">
        <v>1.5754302650000001</v>
      </c>
    </row>
    <row r="40" spans="1:12" x14ac:dyDescent="0.25">
      <c r="A40">
        <v>6</v>
      </c>
      <c r="B40" t="s">
        <v>17</v>
      </c>
      <c r="C40">
        <v>2017</v>
      </c>
      <c r="D40">
        <v>1.33065236</v>
      </c>
      <c r="E40">
        <v>1.235708185</v>
      </c>
      <c r="F40">
        <v>4524.8331082280001</v>
      </c>
      <c r="G40">
        <v>6483.6582280700004</v>
      </c>
      <c r="H40">
        <v>536.42348981400005</v>
      </c>
      <c r="I40">
        <v>768.64416659599999</v>
      </c>
      <c r="J40">
        <v>768.64416659599999</v>
      </c>
      <c r="K40" s="2">
        <v>4.8646084719999996</v>
      </c>
      <c r="L40">
        <v>6.038466927</v>
      </c>
    </row>
    <row r="41" spans="1:12" x14ac:dyDescent="0.25">
      <c r="A41">
        <v>6</v>
      </c>
      <c r="B41" t="s">
        <v>17</v>
      </c>
      <c r="C41">
        <v>2018</v>
      </c>
      <c r="D41">
        <v>1.335250842</v>
      </c>
      <c r="E41">
        <v>1.2120701970000001</v>
      </c>
      <c r="F41">
        <v>4700.4669032339998</v>
      </c>
      <c r="G41">
        <v>6628.0657752979996</v>
      </c>
      <c r="H41">
        <v>558.11463822200005</v>
      </c>
      <c r="I41">
        <v>786.99001789600004</v>
      </c>
      <c r="J41">
        <v>786.99001789600004</v>
      </c>
      <c r="K41" s="2">
        <v>4.0436611779999998</v>
      </c>
      <c r="L41">
        <v>2.3867807879999998</v>
      </c>
    </row>
    <row r="42" spans="1:12" x14ac:dyDescent="0.25">
      <c r="A42">
        <v>6</v>
      </c>
      <c r="B42" t="s">
        <v>17</v>
      </c>
      <c r="C42">
        <v>2019</v>
      </c>
      <c r="D42">
        <v>1.3409739700000001</v>
      </c>
      <c r="E42">
        <v>1.216715685</v>
      </c>
      <c r="F42">
        <v>4855.9990560329998</v>
      </c>
      <c r="G42">
        <v>6856.6022958000003</v>
      </c>
      <c r="H42">
        <v>577.20832779499995</v>
      </c>
      <c r="I42">
        <v>815.01003189000005</v>
      </c>
      <c r="J42">
        <v>815.01003189000005</v>
      </c>
      <c r="K42" s="2">
        <v>3.421105319</v>
      </c>
      <c r="L42">
        <v>3.5604027189999998</v>
      </c>
    </row>
    <row r="43" spans="1:12" x14ac:dyDescent="0.25">
      <c r="A43">
        <v>6</v>
      </c>
      <c r="B43" t="s">
        <v>17</v>
      </c>
      <c r="C43">
        <v>2020</v>
      </c>
      <c r="D43">
        <v>1.504893053</v>
      </c>
      <c r="E43">
        <v>1.3744496310000001</v>
      </c>
      <c r="F43">
        <v>4467.2718603849999</v>
      </c>
      <c r="G43">
        <v>6235.289252695</v>
      </c>
      <c r="H43">
        <v>531.52494049200004</v>
      </c>
      <c r="I43">
        <v>741.887185864</v>
      </c>
      <c r="J43">
        <v>741.887185864</v>
      </c>
      <c r="K43" s="2">
        <v>-7.9145405750000002</v>
      </c>
      <c r="L43">
        <v>-8.9720179099999999</v>
      </c>
    </row>
    <row r="44" spans="1:12" x14ac:dyDescent="0.25">
      <c r="A44">
        <v>7</v>
      </c>
      <c r="B44" t="s">
        <v>18</v>
      </c>
      <c r="C44">
        <v>2014</v>
      </c>
      <c r="D44">
        <v>1.0460757169999999</v>
      </c>
      <c r="E44">
        <v>1.0187058769999999</v>
      </c>
      <c r="F44">
        <v>3788.9742366370001</v>
      </c>
      <c r="G44">
        <v>5354.0900742570002</v>
      </c>
      <c r="H44">
        <v>359.891928893</v>
      </c>
      <c r="I44">
        <v>508.55289161299999</v>
      </c>
      <c r="J44">
        <v>508.55289161299999</v>
      </c>
      <c r="K44" s="2">
        <v>7.981994491</v>
      </c>
      <c r="L44">
        <v>10.868189868</v>
      </c>
    </row>
    <row r="45" spans="1:12" x14ac:dyDescent="0.25">
      <c r="A45">
        <v>7</v>
      </c>
      <c r="B45" t="s">
        <v>18</v>
      </c>
      <c r="C45">
        <v>2015</v>
      </c>
      <c r="D45">
        <v>0.99611886599999999</v>
      </c>
      <c r="E45">
        <v>0.98027227500000003</v>
      </c>
      <c r="F45">
        <v>3808.2100571149999</v>
      </c>
      <c r="G45">
        <v>5572.7384246969996</v>
      </c>
      <c r="H45">
        <v>362.351186934</v>
      </c>
      <c r="I45">
        <v>530.24606111000003</v>
      </c>
      <c r="J45">
        <v>530.24606111000003</v>
      </c>
      <c r="K45" s="2">
        <v>0.68333236900000005</v>
      </c>
      <c r="L45">
        <v>4.2656663359999998</v>
      </c>
    </row>
    <row r="46" spans="1:12" x14ac:dyDescent="0.25">
      <c r="A46">
        <v>7</v>
      </c>
      <c r="B46" t="s">
        <v>18</v>
      </c>
      <c r="C46">
        <v>2016</v>
      </c>
      <c r="D46">
        <v>0.98396567599999996</v>
      </c>
      <c r="E46">
        <v>1.024030818</v>
      </c>
      <c r="F46">
        <v>3942.2393649740002</v>
      </c>
      <c r="G46">
        <v>6222.9659351549999</v>
      </c>
      <c r="H46">
        <v>375.65993132800003</v>
      </c>
      <c r="I46">
        <v>592.99264692700001</v>
      </c>
      <c r="J46">
        <v>592.99264692700001</v>
      </c>
      <c r="K46" s="2">
        <v>3.6728855519999999</v>
      </c>
      <c r="L46">
        <v>11.833484568999999</v>
      </c>
    </row>
    <row r="47" spans="1:12" x14ac:dyDescent="0.25">
      <c r="A47">
        <v>7</v>
      </c>
      <c r="B47" t="s">
        <v>18</v>
      </c>
      <c r="C47">
        <v>2017</v>
      </c>
      <c r="D47">
        <v>0.99258189500000005</v>
      </c>
      <c r="E47">
        <v>1.020583104</v>
      </c>
      <c r="F47">
        <v>4194.272091326</v>
      </c>
      <c r="G47">
        <v>6654.338040091</v>
      </c>
      <c r="H47">
        <v>400.13775178499998</v>
      </c>
      <c r="I47">
        <v>634.83050336300005</v>
      </c>
      <c r="J47">
        <v>634.83050336300005</v>
      </c>
      <c r="K47" s="2">
        <v>6.5159519059999997</v>
      </c>
      <c r="L47">
        <v>7.0553752479999998</v>
      </c>
    </row>
    <row r="48" spans="1:12" x14ac:dyDescent="0.25">
      <c r="A48">
        <v>7</v>
      </c>
      <c r="B48" t="s">
        <v>18</v>
      </c>
      <c r="C48">
        <v>2018</v>
      </c>
      <c r="D48">
        <v>0.99632630600000005</v>
      </c>
      <c r="E48">
        <v>1.009909041</v>
      </c>
      <c r="F48">
        <v>4361.4108303479998</v>
      </c>
      <c r="G48">
        <v>6867.3401462000002</v>
      </c>
      <c r="H48">
        <v>416.449313136</v>
      </c>
      <c r="I48">
        <v>655.72797386000002</v>
      </c>
      <c r="J48">
        <v>655.72797386000002</v>
      </c>
      <c r="K48" s="2">
        <v>4.0764864799999998</v>
      </c>
      <c r="L48">
        <v>3.2918189010000001</v>
      </c>
    </row>
    <row r="49" spans="1:12" x14ac:dyDescent="0.25">
      <c r="A49">
        <v>7</v>
      </c>
      <c r="B49" t="s">
        <v>18</v>
      </c>
      <c r="C49">
        <v>2019</v>
      </c>
      <c r="D49">
        <v>1.0001221659999999</v>
      </c>
      <c r="E49">
        <v>1.0172536919999999</v>
      </c>
      <c r="F49">
        <v>4505.8845115309996</v>
      </c>
      <c r="G49">
        <v>7132.1075800799999</v>
      </c>
      <c r="H49">
        <v>430.492206232</v>
      </c>
      <c r="I49">
        <v>681.40155820099994</v>
      </c>
      <c r="J49">
        <v>681.40155820099994</v>
      </c>
      <c r="K49" s="2">
        <v>3.3720533700000002</v>
      </c>
      <c r="L49">
        <v>3.915279714</v>
      </c>
    </row>
    <row r="50" spans="1:12" x14ac:dyDescent="0.25">
      <c r="A50">
        <v>7</v>
      </c>
      <c r="B50" t="s">
        <v>18</v>
      </c>
      <c r="C50">
        <v>2020</v>
      </c>
      <c r="D50">
        <v>1.0928566850000001</v>
      </c>
      <c r="E50">
        <v>1.128027031</v>
      </c>
      <c r="F50">
        <v>4039.4172587889998</v>
      </c>
      <c r="G50">
        <v>6371.8572971350004</v>
      </c>
      <c r="H50">
        <v>385.99459499800003</v>
      </c>
      <c r="I50">
        <v>608.87556774200004</v>
      </c>
      <c r="J50">
        <v>608.87556774200004</v>
      </c>
      <c r="K50" s="2">
        <v>-10.336449903</v>
      </c>
      <c r="L50">
        <v>-10.643649047</v>
      </c>
    </row>
    <row r="51" spans="1:12" x14ac:dyDescent="0.25">
      <c r="A51">
        <v>8</v>
      </c>
      <c r="B51" t="s">
        <v>19</v>
      </c>
      <c r="C51">
        <v>2014</v>
      </c>
      <c r="D51">
        <v>70.156345216999995</v>
      </c>
      <c r="E51">
        <v>70.451758214999998</v>
      </c>
      <c r="F51">
        <v>16199.870214889999</v>
      </c>
      <c r="G51">
        <v>23605.583752410999</v>
      </c>
      <c r="H51">
        <v>24136.591629921</v>
      </c>
      <c r="I51">
        <v>35170.549372310998</v>
      </c>
      <c r="J51">
        <v>35170.549372310998</v>
      </c>
      <c r="K51" s="2">
        <v>6.3749548149999997</v>
      </c>
      <c r="L51">
        <v>11.3</v>
      </c>
    </row>
    <row r="52" spans="1:12" x14ac:dyDescent="0.25">
      <c r="A52">
        <v>8</v>
      </c>
      <c r="B52" t="s">
        <v>19</v>
      </c>
      <c r="C52">
        <v>2015</v>
      </c>
      <c r="D52">
        <v>67.194852815999994</v>
      </c>
      <c r="E52">
        <v>67.300728116000002</v>
      </c>
      <c r="F52">
        <v>16114.954110314</v>
      </c>
      <c r="G52">
        <v>24000.762388268002</v>
      </c>
      <c r="H52">
        <v>24443.001244984</v>
      </c>
      <c r="I52">
        <v>36404.116382900997</v>
      </c>
      <c r="J52">
        <v>36404.116382900997</v>
      </c>
      <c r="K52" s="2">
        <v>1.269481705</v>
      </c>
      <c r="L52">
        <v>3.5073862440000001</v>
      </c>
    </row>
    <row r="53" spans="1:12" x14ac:dyDescent="0.25">
      <c r="A53">
        <v>8</v>
      </c>
      <c r="B53" t="s">
        <v>19</v>
      </c>
      <c r="C53">
        <v>2016</v>
      </c>
      <c r="D53">
        <v>65.085965324</v>
      </c>
      <c r="E53">
        <v>64.723442978999998</v>
      </c>
      <c r="F53">
        <v>16091.737762999999</v>
      </c>
      <c r="G53">
        <v>24271.608789398</v>
      </c>
      <c r="H53">
        <v>24848.620077558</v>
      </c>
      <c r="I53">
        <v>37479.854218455999</v>
      </c>
      <c r="J53">
        <v>37479.854218455999</v>
      </c>
      <c r="K53" s="2">
        <v>1.6594477430000001</v>
      </c>
      <c r="L53">
        <v>2.9549895519999998</v>
      </c>
    </row>
    <row r="54" spans="1:12" x14ac:dyDescent="0.25">
      <c r="A54">
        <v>8</v>
      </c>
      <c r="B54" t="s">
        <v>19</v>
      </c>
      <c r="C54">
        <v>2017</v>
      </c>
      <c r="D54">
        <v>63.27253391</v>
      </c>
      <c r="E54">
        <v>62.927382277</v>
      </c>
      <c r="F54">
        <v>16227.751864046</v>
      </c>
      <c r="G54">
        <v>24902.848738892</v>
      </c>
      <c r="H54">
        <v>25506.942657426</v>
      </c>
      <c r="I54">
        <v>39142.546676277998</v>
      </c>
      <c r="J54">
        <v>39142.546676277998</v>
      </c>
      <c r="K54" s="2">
        <v>2.64933255</v>
      </c>
      <c r="L54">
        <v>4.4362297890000004</v>
      </c>
    </row>
    <row r="55" spans="1:12" x14ac:dyDescent="0.25">
      <c r="A55">
        <v>8</v>
      </c>
      <c r="B55" t="s">
        <v>19</v>
      </c>
      <c r="C55">
        <v>2018</v>
      </c>
      <c r="D55">
        <v>62.854941105000002</v>
      </c>
      <c r="E55">
        <v>62.492453961000002</v>
      </c>
      <c r="F55">
        <v>16427.959266034999</v>
      </c>
      <c r="G55">
        <v>25371.881293687999</v>
      </c>
      <c r="H55">
        <v>26272.413856207</v>
      </c>
      <c r="I55">
        <v>40575.981158930997</v>
      </c>
      <c r="J55">
        <v>40575.981158930997</v>
      </c>
      <c r="K55" s="2">
        <v>3.0010307749999998</v>
      </c>
      <c r="L55">
        <v>3.662087944</v>
      </c>
    </row>
    <row r="56" spans="1:12" x14ac:dyDescent="0.25">
      <c r="A56">
        <v>8</v>
      </c>
      <c r="B56" t="s">
        <v>19</v>
      </c>
      <c r="C56">
        <v>2019</v>
      </c>
      <c r="D56">
        <v>62.391265601999997</v>
      </c>
      <c r="E56">
        <v>62.127070392</v>
      </c>
      <c r="F56">
        <v>16512.605788042001</v>
      </c>
      <c r="G56">
        <v>25587.879668220001</v>
      </c>
      <c r="H56">
        <v>26855.672725920998</v>
      </c>
      <c r="I56">
        <v>41615.462207522003</v>
      </c>
      <c r="J56">
        <v>41615.462207522003</v>
      </c>
      <c r="K56" s="2">
        <v>2.2200429430000002</v>
      </c>
      <c r="L56">
        <v>2.5618137110000001</v>
      </c>
    </row>
    <row r="57" spans="1:12" x14ac:dyDescent="0.25">
      <c r="A57">
        <v>8</v>
      </c>
      <c r="B57" t="s">
        <v>19</v>
      </c>
      <c r="C57">
        <v>2020</v>
      </c>
      <c r="D57">
        <v>59.705984057000002</v>
      </c>
      <c r="E57">
        <v>60.344843908999998</v>
      </c>
      <c r="F57">
        <v>12731.707217341</v>
      </c>
      <c r="G57">
        <v>19665.273064009001</v>
      </c>
      <c r="H57">
        <v>21088.023200664</v>
      </c>
      <c r="I57">
        <v>32572.358721567001</v>
      </c>
      <c r="J57">
        <v>32572.358721567001</v>
      </c>
      <c r="K57" s="2">
        <v>-21.476466383999998</v>
      </c>
      <c r="L57">
        <v>-21.730152703000002</v>
      </c>
    </row>
    <row r="58" spans="1:12" x14ac:dyDescent="0.25">
      <c r="A58">
        <v>9</v>
      </c>
      <c r="B58" t="s">
        <v>20</v>
      </c>
      <c r="C58">
        <v>2014</v>
      </c>
      <c r="D58">
        <v>2.111824119</v>
      </c>
      <c r="E58">
        <v>2.2181604660000001</v>
      </c>
      <c r="F58">
        <v>2983.8969361019999</v>
      </c>
      <c r="G58">
        <v>4547.7581788179996</v>
      </c>
      <c r="H58">
        <v>726.55204886800004</v>
      </c>
      <c r="I58">
        <v>1107.3381867190001</v>
      </c>
      <c r="J58">
        <v>1107.3381867190001</v>
      </c>
      <c r="K58" s="2">
        <v>-6.5862923990000004</v>
      </c>
      <c r="L58">
        <v>-2.4527823120000001</v>
      </c>
    </row>
    <row r="59" spans="1:12" x14ac:dyDescent="0.25">
      <c r="A59">
        <v>9</v>
      </c>
      <c r="B59" t="s">
        <v>20</v>
      </c>
      <c r="C59">
        <v>2015</v>
      </c>
      <c r="D59">
        <v>2.1042548860000001</v>
      </c>
      <c r="E59">
        <v>2.1987387790000001</v>
      </c>
      <c r="F59">
        <v>3131.7638851920001</v>
      </c>
      <c r="G59">
        <v>4866.0493820669999</v>
      </c>
      <c r="H59">
        <v>765.45006999899999</v>
      </c>
      <c r="I59">
        <v>1189.335459718</v>
      </c>
      <c r="J59">
        <v>1189.335459718</v>
      </c>
      <c r="K59" s="2">
        <v>5.3537831450000004</v>
      </c>
      <c r="L59">
        <v>7.4048988810000003</v>
      </c>
    </row>
    <row r="60" spans="1:12" x14ac:dyDescent="0.25">
      <c r="A60">
        <v>9</v>
      </c>
      <c r="B60" t="s">
        <v>20</v>
      </c>
      <c r="C60">
        <v>2016</v>
      </c>
      <c r="D60">
        <v>2.0818514810000002</v>
      </c>
      <c r="E60">
        <v>2.251543694</v>
      </c>
      <c r="F60">
        <v>3240.3763164960001</v>
      </c>
      <c r="G60">
        <v>5315.540616196</v>
      </c>
      <c r="H60">
        <v>794.81246441600001</v>
      </c>
      <c r="I60">
        <v>1303.817064503</v>
      </c>
      <c r="J60">
        <v>1303.817064503</v>
      </c>
      <c r="K60" s="2">
        <v>3.8359646920000001</v>
      </c>
      <c r="L60">
        <v>9.6256782600000008</v>
      </c>
    </row>
    <row r="61" spans="1:12" x14ac:dyDescent="0.25">
      <c r="A61">
        <v>9</v>
      </c>
      <c r="B61" t="s">
        <v>20</v>
      </c>
      <c r="C61">
        <v>2017</v>
      </c>
      <c r="D61">
        <v>2.0495852160000001</v>
      </c>
      <c r="E61">
        <v>2.2044926469999999</v>
      </c>
      <c r="F61">
        <v>3357.0706982010001</v>
      </c>
      <c r="G61">
        <v>5571.4648624789997</v>
      </c>
      <c r="H61">
        <v>826.24559731199997</v>
      </c>
      <c r="I61">
        <v>1371.254503418</v>
      </c>
      <c r="J61">
        <v>1371.254503418</v>
      </c>
      <c r="K61" s="2">
        <v>3.9547861040000001</v>
      </c>
      <c r="L61">
        <v>5.1723083509999999</v>
      </c>
    </row>
    <row r="62" spans="1:12" x14ac:dyDescent="0.25">
      <c r="A62">
        <v>9</v>
      </c>
      <c r="B62" t="s">
        <v>20</v>
      </c>
      <c r="C62">
        <v>2018</v>
      </c>
      <c r="D62">
        <v>2.054285358</v>
      </c>
      <c r="E62">
        <v>2.1724032709999999</v>
      </c>
      <c r="F62">
        <v>3477.7790958360001</v>
      </c>
      <c r="G62">
        <v>5712.978219783</v>
      </c>
      <c r="H62">
        <v>858.66018098300003</v>
      </c>
      <c r="I62">
        <v>1410.5286094860001</v>
      </c>
      <c r="J62">
        <v>1410.5286094860001</v>
      </c>
      <c r="K62" s="2">
        <v>3.923117264</v>
      </c>
      <c r="L62">
        <v>2.8641004259999998</v>
      </c>
    </row>
    <row r="63" spans="1:12" x14ac:dyDescent="0.25">
      <c r="A63">
        <v>9</v>
      </c>
      <c r="B63" t="s">
        <v>20</v>
      </c>
      <c r="C63">
        <v>2019</v>
      </c>
      <c r="D63">
        <v>2.127655936</v>
      </c>
      <c r="E63">
        <v>2.2521166670000001</v>
      </c>
      <c r="F63">
        <v>3698.161130939</v>
      </c>
      <c r="G63">
        <v>6091.6777647480003</v>
      </c>
      <c r="H63">
        <v>915.82741510999995</v>
      </c>
      <c r="I63">
        <v>1508.5674483729999</v>
      </c>
      <c r="J63">
        <v>1508.5674483729999</v>
      </c>
      <c r="K63" s="2">
        <v>6.6577250689999996</v>
      </c>
      <c r="L63">
        <v>6.9505033950000001</v>
      </c>
    </row>
    <row r="64" spans="1:12" x14ac:dyDescent="0.25">
      <c r="A64">
        <v>9</v>
      </c>
      <c r="B64" t="s">
        <v>20</v>
      </c>
      <c r="C64">
        <v>2020</v>
      </c>
      <c r="D64">
        <v>2.3778139770000002</v>
      </c>
      <c r="E64">
        <v>2.5439381980000002</v>
      </c>
      <c r="F64">
        <v>3382.0143153590002</v>
      </c>
      <c r="G64">
        <v>5529.6182926780002</v>
      </c>
      <c r="H64">
        <v>839.83870486199999</v>
      </c>
      <c r="I64">
        <v>1373.1424625290001</v>
      </c>
      <c r="J64">
        <v>1373.1424625290001</v>
      </c>
      <c r="K64" s="2">
        <v>-8.2972740270000003</v>
      </c>
      <c r="L64">
        <v>-8.9770587309999996</v>
      </c>
    </row>
    <row r="65" spans="1:12" x14ac:dyDescent="0.25">
      <c r="A65">
        <v>13</v>
      </c>
      <c r="B65" t="s">
        <v>21</v>
      </c>
      <c r="C65">
        <v>2014</v>
      </c>
      <c r="D65">
        <v>5.3226899960000003</v>
      </c>
      <c r="E65">
        <v>5.1262781239999997</v>
      </c>
      <c r="F65">
        <v>3390.944360732</v>
      </c>
      <c r="G65">
        <v>4738.8175272569997</v>
      </c>
      <c r="H65">
        <v>1831.218465015</v>
      </c>
      <c r="I65">
        <v>2559.11310688</v>
      </c>
      <c r="J65">
        <v>2559.11310688</v>
      </c>
      <c r="K65" s="2">
        <v>0</v>
      </c>
      <c r="L65">
        <v>0</v>
      </c>
    </row>
    <row r="66" spans="1:12" x14ac:dyDescent="0.25">
      <c r="A66">
        <v>13</v>
      </c>
      <c r="B66" t="s">
        <v>21</v>
      </c>
      <c r="C66">
        <v>2015</v>
      </c>
      <c r="D66">
        <v>6.9631323680000001</v>
      </c>
      <c r="E66">
        <v>6.7619040730000002</v>
      </c>
      <c r="F66">
        <v>4580.4925287830001</v>
      </c>
      <c r="G66">
        <v>6614.3739086409996</v>
      </c>
      <c r="H66">
        <v>2532.9299195519998</v>
      </c>
      <c r="I66">
        <v>3657.6297127480002</v>
      </c>
      <c r="J66">
        <v>3657.6297127480002</v>
      </c>
      <c r="K66" s="2">
        <v>38.319374119000003</v>
      </c>
      <c r="L66">
        <v>42.925676201000002</v>
      </c>
    </row>
    <row r="67" spans="1:12" x14ac:dyDescent="0.25">
      <c r="A67">
        <v>13</v>
      </c>
      <c r="B67" t="s">
        <v>21</v>
      </c>
      <c r="C67">
        <v>2016</v>
      </c>
      <c r="D67">
        <v>6.6664989099999996</v>
      </c>
      <c r="E67">
        <v>6.5434784749999997</v>
      </c>
      <c r="F67">
        <v>4505.4730310539999</v>
      </c>
      <c r="G67">
        <v>6707.6843280390003</v>
      </c>
      <c r="H67">
        <v>2545.1462207149998</v>
      </c>
      <c r="I67">
        <v>3789.1775845930001</v>
      </c>
      <c r="J67">
        <v>3789.1775845930001</v>
      </c>
      <c r="K67" s="2">
        <v>0.482299217</v>
      </c>
      <c r="L67">
        <v>3.5965333340000001</v>
      </c>
    </row>
    <row r="68" spans="1:12" x14ac:dyDescent="0.25">
      <c r="A68">
        <v>13</v>
      </c>
      <c r="B68" t="s">
        <v>21</v>
      </c>
      <c r="C68">
        <v>2017</v>
      </c>
      <c r="D68">
        <v>6.2011800360000002</v>
      </c>
      <c r="E68">
        <v>6.061903526</v>
      </c>
      <c r="F68">
        <v>4337.6281684249998</v>
      </c>
      <c r="G68">
        <v>6542.6431619699997</v>
      </c>
      <c r="H68">
        <v>2499.870541283</v>
      </c>
      <c r="I68">
        <v>3770.6691923929998</v>
      </c>
      <c r="J68">
        <v>3770.6691923929998</v>
      </c>
      <c r="K68" s="2">
        <v>-1.77890288</v>
      </c>
      <c r="L68">
        <v>-0.48845407200000002</v>
      </c>
    </row>
    <row r="69" spans="1:12" x14ac:dyDescent="0.25">
      <c r="A69">
        <v>13</v>
      </c>
      <c r="B69" t="s">
        <v>21</v>
      </c>
      <c r="C69">
        <v>2018</v>
      </c>
      <c r="D69">
        <v>5.863845564</v>
      </c>
      <c r="E69">
        <v>5.72796767</v>
      </c>
      <c r="F69">
        <v>4171.9339437369999</v>
      </c>
      <c r="G69">
        <v>6330.4758463369999</v>
      </c>
      <c r="H69">
        <v>2450.998676144</v>
      </c>
      <c r="I69">
        <v>3719.1355682950002</v>
      </c>
      <c r="J69">
        <v>3719.1355682950002</v>
      </c>
      <c r="K69" s="2">
        <v>-1.954975841</v>
      </c>
      <c r="L69">
        <v>-1.3666970359999999</v>
      </c>
    </row>
    <row r="70" spans="1:12" x14ac:dyDescent="0.25">
      <c r="A70">
        <v>13</v>
      </c>
      <c r="B70" t="s">
        <v>21</v>
      </c>
      <c r="C70">
        <v>2019</v>
      </c>
      <c r="D70">
        <v>6.2036014479999997</v>
      </c>
      <c r="E70">
        <v>6.0825157179999998</v>
      </c>
      <c r="F70">
        <v>4461.5094331689997</v>
      </c>
      <c r="G70">
        <v>6807.4235693840001</v>
      </c>
      <c r="H70">
        <v>2670.2758568839999</v>
      </c>
      <c r="I70">
        <v>4074.3383102060002</v>
      </c>
      <c r="J70">
        <v>4074.3383102060002</v>
      </c>
      <c r="K70" s="2">
        <v>8.9464422349999992</v>
      </c>
      <c r="L70">
        <v>9.5506801350000003</v>
      </c>
    </row>
    <row r="71" spans="1:12" x14ac:dyDescent="0.25">
      <c r="A71">
        <v>13</v>
      </c>
      <c r="B71" t="s">
        <v>21</v>
      </c>
      <c r="C71">
        <v>2020</v>
      </c>
      <c r="D71">
        <v>6.4625700439999996</v>
      </c>
      <c r="E71">
        <v>6.532777286</v>
      </c>
      <c r="F71">
        <v>3763.7653863199998</v>
      </c>
      <c r="G71">
        <v>5814.4168472049996</v>
      </c>
      <c r="H71">
        <v>2282.5656286570002</v>
      </c>
      <c r="I71">
        <v>3526.1996123220001</v>
      </c>
      <c r="J71">
        <v>3526.1996123220001</v>
      </c>
      <c r="K71" s="2">
        <v>-14.519482219</v>
      </c>
      <c r="L71">
        <v>-13.453440930999999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6:G116"/>
  <sheetViews>
    <sheetView tabSelected="1" topLeftCell="A50" workbookViewId="0">
      <selection activeCell="I63" sqref="I63"/>
    </sheetView>
  </sheetViews>
  <sheetFormatPr baseColWidth="10" defaultRowHeight="15" x14ac:dyDescent="0.25"/>
  <cols>
    <col min="1" max="1" width="13.7109375" bestFit="1" customWidth="1"/>
    <col min="2" max="2" width="27.85546875" bestFit="1" customWidth="1"/>
    <col min="3" max="28" width="12" bestFit="1" customWidth="1"/>
    <col min="29" max="29" width="11" bestFit="1" customWidth="1"/>
    <col min="30" max="35" width="12" bestFit="1" customWidth="1"/>
    <col min="36" max="36" width="11" bestFit="1" customWidth="1"/>
    <col min="37" max="38" width="12" bestFit="1" customWidth="1"/>
    <col min="39" max="39" width="11" bestFit="1" customWidth="1"/>
    <col min="40" max="52" width="12" bestFit="1" customWidth="1"/>
    <col min="53" max="53" width="11" bestFit="1" customWidth="1"/>
    <col min="54" max="61" width="12" bestFit="1" customWidth="1"/>
    <col min="62" max="62" width="10" bestFit="1" customWidth="1"/>
    <col min="63" max="76" width="12" bestFit="1" customWidth="1"/>
    <col min="77" max="77" width="11" bestFit="1" customWidth="1"/>
    <col min="78" max="102" width="12" bestFit="1" customWidth="1"/>
    <col min="103" max="103" width="9" bestFit="1" customWidth="1"/>
    <col min="104" max="104" width="11" bestFit="1" customWidth="1"/>
    <col min="105" max="121" width="12" bestFit="1" customWidth="1"/>
    <col min="122" max="122" width="11" bestFit="1" customWidth="1"/>
    <col min="123" max="126" width="12" bestFit="1" customWidth="1"/>
    <col min="127" max="127" width="11" bestFit="1" customWidth="1"/>
    <col min="128" max="134" width="12" bestFit="1" customWidth="1"/>
  </cols>
  <sheetData>
    <row r="6" spans="1:7" x14ac:dyDescent="0.25">
      <c r="B6" s="9" t="s">
        <v>23</v>
      </c>
      <c r="C6" s="9"/>
      <c r="D6" s="9"/>
      <c r="E6" s="9"/>
      <c r="F6" s="9"/>
      <c r="G6" s="9"/>
    </row>
    <row r="7" spans="1:7" x14ac:dyDescent="0.25">
      <c r="A7" s="3"/>
      <c r="B7" s="4" t="s">
        <v>3</v>
      </c>
      <c r="C7" s="4" t="s">
        <v>4</v>
      </c>
      <c r="D7" s="4" t="s">
        <v>5</v>
      </c>
      <c r="E7" s="4" t="s">
        <v>6</v>
      </c>
      <c r="F7" s="4" t="s">
        <v>7</v>
      </c>
      <c r="G7" s="4" t="s">
        <v>8</v>
      </c>
    </row>
    <row r="8" spans="1:7" x14ac:dyDescent="0.25">
      <c r="A8" s="5" t="s">
        <v>12</v>
      </c>
      <c r="B8" s="3">
        <f>AVERAGE('Valores_Datos completos_data'!D2:D8)</f>
        <v>1.3889749125714286</v>
      </c>
      <c r="C8" s="3">
        <f>AVERAGE('Valores_Datos completos_data'!E2:E8)</f>
        <v>1.3037852792857143</v>
      </c>
      <c r="D8" s="3">
        <f>AVERAGE('Valores_Datos completos_data'!F2:F8)</f>
        <v>3204.4460350875711</v>
      </c>
      <c r="E8" s="3">
        <f>AVERAGE('Valores_Datos completos_data'!G2:G8)</f>
        <v>4580.7100892879998</v>
      </c>
      <c r="F8" s="3">
        <f>AVERAGE('Valores_Datos completos_data'!H2:H8)</f>
        <v>533.08996992771438</v>
      </c>
      <c r="G8" s="3">
        <f>AVERAGE('Valores_Datos completos_data'!I2:I8)</f>
        <v>760.79389213342859</v>
      </c>
    </row>
    <row r="9" spans="1:7" x14ac:dyDescent="0.25">
      <c r="A9" s="5" t="s">
        <v>13</v>
      </c>
      <c r="B9" s="3">
        <f>AVERAGE('Valores_Datos completos_data'!D9:D15)</f>
        <v>2.5229323658571423</v>
      </c>
      <c r="C9" s="3">
        <f>AVERAGE('Valores_Datos completos_data'!E9:E15)</f>
        <v>2.7906936684285708</v>
      </c>
      <c r="D9" s="3">
        <f>AVERAGE('Valores_Datos completos_data'!F9:F15)</f>
        <v>3708.1543336567147</v>
      </c>
      <c r="E9" s="3">
        <f>AVERAGE('Valores_Datos completos_data'!G9:G15)</f>
        <v>6238.2920404058577</v>
      </c>
      <c r="F9" s="3">
        <f>AVERAGE('Valores_Datos completos_data'!H9:H15)</f>
        <v>968.24225766799998</v>
      </c>
      <c r="G9" s="3">
        <f>AVERAGE('Valores_Datos completos_data'!I9:I15)</f>
        <v>1629.662769298857</v>
      </c>
    </row>
    <row r="10" spans="1:7" x14ac:dyDescent="0.25">
      <c r="A10" s="5" t="s">
        <v>14</v>
      </c>
      <c r="B10" s="3">
        <f>AVERAGE('Valores_Datos completos_data'!D16:D22)</f>
        <v>15.204478484428572</v>
      </c>
      <c r="C10" s="3">
        <f>AVERAGE('Valores_Datos completos_data'!E16:E22)</f>
        <v>15.207504495285715</v>
      </c>
      <c r="D10" s="3">
        <f>AVERAGE('Valores_Datos completos_data'!F16:F22)</f>
        <v>17852.413911418855</v>
      </c>
      <c r="E10" s="3">
        <f>AVERAGE('Valores_Datos completos_data'!G16:G22)</f>
        <v>27265.84226430886</v>
      </c>
      <c r="F10" s="3">
        <f>AVERAGE('Valores_Datos completos_data'!H16:H22)</f>
        <v>5917.2052737175709</v>
      </c>
      <c r="G10" s="3">
        <f>AVERAGE('Valores_Datos completos_data'!I16:I22)</f>
        <v>9043.6044780687153</v>
      </c>
    </row>
    <row r="11" spans="1:7" x14ac:dyDescent="0.25">
      <c r="A11" s="5" t="s">
        <v>15</v>
      </c>
      <c r="B11" s="3">
        <f>AVERAGE('Valores_Datos completos_data'!D23:D29)</f>
        <v>5.7126997859999999</v>
      </c>
      <c r="C11" s="3">
        <f>AVERAGE('Valores_Datos completos_data'!E23:E29)</f>
        <v>5.3208421375714279</v>
      </c>
      <c r="D11" s="3">
        <f>AVERAGE('Valores_Datos completos_data'!F23:F29)</f>
        <v>3298.6202662659998</v>
      </c>
      <c r="E11" s="3">
        <f>AVERAGE('Valores_Datos completos_data'!G23:G29)</f>
        <v>4674.5905996614283</v>
      </c>
      <c r="F11" s="3">
        <f>AVERAGE('Valores_Datos completos_data'!H23:H29)</f>
        <v>2196.7850551799997</v>
      </c>
      <c r="G11" s="3">
        <f>AVERAGE('Valores_Datos completos_data'!I23:I29)</f>
        <v>3115.0661877412858</v>
      </c>
    </row>
    <row r="12" spans="1:7" x14ac:dyDescent="0.25">
      <c r="A12" s="5" t="s">
        <v>16</v>
      </c>
      <c r="B12" s="3">
        <f>AVERAGE('Valores_Datos completos_data'!D30:D36)</f>
        <v>0.27381603028571427</v>
      </c>
      <c r="C12" s="3">
        <f>AVERAGE('Valores_Datos completos_data'!E30:E36)</f>
        <v>0.33166827671428567</v>
      </c>
      <c r="D12" s="3">
        <f>AVERAGE('Valores_Datos completos_data'!F30:F36)</f>
        <v>1542.2232521160001</v>
      </c>
      <c r="E12" s="3">
        <f>AVERAGE('Valores_Datos completos_data'!G30:G36)</f>
        <v>2840.5706568194287</v>
      </c>
      <c r="F12" s="3">
        <f>AVERAGE('Valores_Datos completos_data'!H30:H36)</f>
        <v>105.05057722800002</v>
      </c>
      <c r="G12" s="3">
        <f>AVERAGE('Valores_Datos completos_data'!I30:I36)</f>
        <v>193.57533002785718</v>
      </c>
    </row>
    <row r="13" spans="1:7" x14ac:dyDescent="0.25">
      <c r="A13" s="5" t="s">
        <v>17</v>
      </c>
      <c r="B13" s="3">
        <f>AVERAGE('Valores_Datos completos_data'!D37:D43)</f>
        <v>1.384687249</v>
      </c>
      <c r="C13" s="3">
        <f>AVERAGE('Valores_Datos completos_data'!E37:E43)</f>
        <v>1.2962661022857145</v>
      </c>
      <c r="D13" s="3">
        <f>AVERAGE('Valores_Datos completos_data'!F37:F43)</f>
        <v>4483.541507553572</v>
      </c>
      <c r="E13" s="3">
        <f>AVERAGE('Valores_Datos completos_data'!G37:G43)</f>
        <v>6367.7894219842856</v>
      </c>
      <c r="F13" s="3">
        <f>AVERAGE('Valores_Datos completos_data'!H37:H43)</f>
        <v>531.28710133871425</v>
      </c>
      <c r="G13" s="3">
        <f>AVERAGE('Valores_Datos completos_data'!I37:I43)</f>
        <v>754.54421461185723</v>
      </c>
    </row>
    <row r="14" spans="1:7" x14ac:dyDescent="0.25">
      <c r="A14" s="5" t="s">
        <v>18</v>
      </c>
      <c r="B14" s="3">
        <f>AVERAGE('Valores_Datos completos_data'!D44:D50)</f>
        <v>1.0154353301428571</v>
      </c>
      <c r="C14" s="3">
        <f>AVERAGE('Valores_Datos completos_data'!E44:E50)</f>
        <v>1.0283974054285714</v>
      </c>
      <c r="D14" s="3">
        <f>AVERAGE('Valores_Datos completos_data'!F44:F50)</f>
        <v>4091.4869072457141</v>
      </c>
      <c r="E14" s="3">
        <f>AVERAGE('Valores_Datos completos_data'!G44:G50)</f>
        <v>6310.7767853735713</v>
      </c>
      <c r="F14" s="3">
        <f>AVERAGE('Valores_Datos completos_data'!H44:H50)</f>
        <v>390.13955904371431</v>
      </c>
      <c r="G14" s="3">
        <f>AVERAGE('Valores_Datos completos_data'!I44:I50)</f>
        <v>601.80388611657145</v>
      </c>
    </row>
    <row r="15" spans="1:7" x14ac:dyDescent="0.25">
      <c r="A15" s="5" t="s">
        <v>19</v>
      </c>
      <c r="B15" s="3">
        <f>AVERAGE('Valores_Datos completos_data'!D51:D57)</f>
        <v>64.380269718714288</v>
      </c>
      <c r="C15" s="3">
        <f>AVERAGE('Valores_Datos completos_data'!E51:E57)</f>
        <v>64.338239978428575</v>
      </c>
      <c r="D15" s="3">
        <f>AVERAGE('Valores_Datos completos_data'!F51:F57)</f>
        <v>15758.083746238286</v>
      </c>
      <c r="E15" s="3">
        <f>AVERAGE('Valores_Datos completos_data'!G51:G57)</f>
        <v>23915.119670698001</v>
      </c>
      <c r="F15" s="3">
        <f>AVERAGE('Valores_Datos completos_data'!H51:H57)</f>
        <v>24735.895056097284</v>
      </c>
      <c r="G15" s="3">
        <f>AVERAGE('Valores_Datos completos_data'!I51:I57)</f>
        <v>37565.838391138001</v>
      </c>
    </row>
    <row r="16" spans="1:7" x14ac:dyDescent="0.25">
      <c r="A16" s="5" t="s">
        <v>20</v>
      </c>
      <c r="B16" s="3">
        <f>AVERAGE('Valores_Datos completos_data'!D58:D64)</f>
        <v>2.129610139</v>
      </c>
      <c r="C16" s="3">
        <f>AVERAGE('Valores_Datos completos_data'!E58:E64)</f>
        <v>2.2630562460000001</v>
      </c>
      <c r="D16" s="3">
        <f>AVERAGE('Valores_Datos completos_data'!F58:F64)</f>
        <v>3324.4374825892855</v>
      </c>
      <c r="E16" s="3">
        <f>AVERAGE('Valores_Datos completos_data'!G58:G64)</f>
        <v>5376.4410452527145</v>
      </c>
      <c r="F16" s="3">
        <f>AVERAGE('Valores_Datos completos_data'!H58:H64)</f>
        <v>818.19806879285704</v>
      </c>
      <c r="G16" s="3">
        <f>AVERAGE('Valores_Datos completos_data'!I58:I64)</f>
        <v>1323.4262478208573</v>
      </c>
    </row>
    <row r="17" spans="1:7" x14ac:dyDescent="0.25">
      <c r="A17" s="5" t="s">
        <v>21</v>
      </c>
      <c r="B17" s="3">
        <f>AVERAGE('Valores_Datos completos_data'!D65:D71)</f>
        <v>6.2405026237142858</v>
      </c>
      <c r="C17" s="3">
        <f>AVERAGE('Valores_Datos completos_data'!E65:E71)</f>
        <v>6.1195464102857136</v>
      </c>
      <c r="D17" s="3">
        <f>AVERAGE('Valores_Datos completos_data'!F65:F71)</f>
        <v>4173.1066931742853</v>
      </c>
      <c r="E17" s="3">
        <f>AVERAGE('Valores_Datos completos_data'!G65:G71)</f>
        <v>6222.2621698332869</v>
      </c>
      <c r="F17" s="3">
        <f>AVERAGE('Valores_Datos completos_data'!H65:H71)</f>
        <v>2401.857901178571</v>
      </c>
      <c r="G17" s="3">
        <f>AVERAGE('Valores_Datos completos_data'!I65:I71)</f>
        <v>3585.1804410624286</v>
      </c>
    </row>
    <row r="21" spans="1:7" x14ac:dyDescent="0.25">
      <c r="B21" s="9" t="s">
        <v>25</v>
      </c>
      <c r="C21" s="9"/>
      <c r="D21" s="9"/>
      <c r="E21" s="9"/>
      <c r="F21" s="9"/>
      <c r="G21" s="9"/>
    </row>
    <row r="22" spans="1:7" x14ac:dyDescent="0.25">
      <c r="A22" s="3"/>
      <c r="B22" s="4" t="s">
        <v>3</v>
      </c>
      <c r="C22" s="4" t="s">
        <v>4</v>
      </c>
      <c r="D22" s="4" t="s">
        <v>5</v>
      </c>
      <c r="E22" s="4" t="s">
        <v>6</v>
      </c>
      <c r="F22" s="4" t="s">
        <v>7</v>
      </c>
      <c r="G22" s="4" t="s">
        <v>8</v>
      </c>
    </row>
    <row r="23" spans="1:7" x14ac:dyDescent="0.25">
      <c r="A23" s="5" t="s">
        <v>12</v>
      </c>
      <c r="B23" s="3">
        <f>_xlfn.VAR.S('Valores_Datos completos_data'!D2:D8)</f>
        <v>3.4468543624787941E-2</v>
      </c>
      <c r="C23" s="3">
        <f>_xlfn.VAR.S('Valores_Datos completos_data'!E2:E8)</f>
        <v>1.5601467656776708E-2</v>
      </c>
      <c r="D23" s="3">
        <f>_xlfn.VAR.S('Valores_Datos completos_data'!F2:F8)</f>
        <v>47231.695356379008</v>
      </c>
      <c r="E23" s="3">
        <f>_xlfn.VAR.S('Valores_Datos completos_data'!G2:G8)</f>
        <v>75737.655688546118</v>
      </c>
      <c r="F23" s="3">
        <f>_xlfn.VAR.S('Valores_Datos completos_data'!H2:H8)</f>
        <v>4615.123235879194</v>
      </c>
      <c r="G23" s="3">
        <f>_xlfn.VAR.S('Valores_Datos completos_data'!I2:I8)</f>
        <v>6409.238346448893</v>
      </c>
    </row>
    <row r="24" spans="1:7" x14ac:dyDescent="0.25">
      <c r="A24" s="5" t="s">
        <v>13</v>
      </c>
      <c r="B24" s="3">
        <f>_xlfn.VAR.S('Valores_Datos completos_data'!D9:D15)</f>
        <v>1.5069073511765471E-2</v>
      </c>
      <c r="C24" s="3">
        <f>_xlfn.VAR.S('Valores_Datos completos_data'!E9:E15)</f>
        <v>1.2331006017677962E-2</v>
      </c>
      <c r="D24" s="3">
        <f>_xlfn.VAR.S('Valores_Datos completos_data'!F9:F15)</f>
        <v>33226.349041677473</v>
      </c>
      <c r="E24" s="3">
        <f>_xlfn.VAR.S('Valores_Datos completos_data'!G9:G15)</f>
        <v>182334.03149158868</v>
      </c>
      <c r="F24" s="3">
        <f>_xlfn.VAR.S('Valores_Datos completos_data'!H9:H15)</f>
        <v>2845.6142642506275</v>
      </c>
      <c r="G24" s="3">
        <f>_xlfn.VAR.S('Valores_Datos completos_data'!I9:I15)</f>
        <v>16859.084763866496</v>
      </c>
    </row>
    <row r="25" spans="1:7" x14ac:dyDescent="0.25">
      <c r="A25" s="5" t="s">
        <v>14</v>
      </c>
      <c r="B25" s="3">
        <f>_xlfn.VAR.S('Valores_Datos completos_data'!D16:D22)</f>
        <v>9.2356374532542986</v>
      </c>
      <c r="C25" s="3">
        <f>_xlfn.VAR.S('Valores_Datos completos_data'!E16:E22)</f>
        <v>9.6918712094440025</v>
      </c>
      <c r="D25" s="3">
        <f>_xlfn.VAR.S('Valores_Datos completos_data'!F16:F22)</f>
        <v>18662233.994876701</v>
      </c>
      <c r="E25" s="3">
        <f>_xlfn.VAR.S('Valores_Datos completos_data'!G16:G22)</f>
        <v>52476522.89606142</v>
      </c>
      <c r="F25" s="3">
        <f>_xlfn.VAR.S('Valores_Datos completos_data'!H16:H22)</f>
        <v>2420662.710356588</v>
      </c>
      <c r="G25" s="3">
        <f>_xlfn.VAR.S('Valores_Datos completos_data'!I16:I22)</f>
        <v>6725786.8144926829</v>
      </c>
    </row>
    <row r="26" spans="1:7" x14ac:dyDescent="0.25">
      <c r="A26" s="5" t="s">
        <v>15</v>
      </c>
      <c r="B26" s="3">
        <f>_xlfn.VAR.S('Valores_Datos completos_data'!D23:D29)</f>
        <v>8.0227171950534762E-2</v>
      </c>
      <c r="C26" s="3">
        <f>_xlfn.VAR.S('Valores_Datos completos_data'!E23:E29)</f>
        <v>9.6656593281604183E-2</v>
      </c>
      <c r="D26" s="3">
        <f>_xlfn.VAR.S('Valores_Datos completos_data'!F23:F29)</f>
        <v>48232.231642202903</v>
      </c>
      <c r="E26" s="3">
        <f>_xlfn.VAR.S('Valores_Datos completos_data'!G23:G29)</f>
        <v>194616.66125248815</v>
      </c>
      <c r="F26" s="3">
        <f>_xlfn.VAR.S('Valores_Datos completos_data'!H23:H29)</f>
        <v>35320.913648627597</v>
      </c>
      <c r="G26" s="3">
        <f>_xlfn.VAR.S('Valores_Datos completos_data'!I23:I29)</f>
        <v>126543.77269985278</v>
      </c>
    </row>
    <row r="27" spans="1:7" x14ac:dyDescent="0.25">
      <c r="A27" s="5" t="s">
        <v>16</v>
      </c>
      <c r="B27" s="3">
        <f>_xlfn.VAR.S('Valores_Datos completos_data'!D30:D36)</f>
        <v>4.7470332646254676E-4</v>
      </c>
      <c r="C27" s="3">
        <f>_xlfn.VAR.S('Valores_Datos completos_data'!E30:E36)</f>
        <v>6.709913864047641E-4</v>
      </c>
      <c r="D27" s="3">
        <f>_xlfn.VAR.S('Valores_Datos completos_data'!F30:F36)</f>
        <v>5677.1311327914445</v>
      </c>
      <c r="E27" s="3">
        <f>_xlfn.VAR.S('Valores_Datos completos_data'!G30:G36)</f>
        <v>37257.081818565974</v>
      </c>
      <c r="F27" s="3">
        <f>_xlfn.VAR.S('Valores_Datos completos_data'!H30:H36)</f>
        <v>63.626894994260702</v>
      </c>
      <c r="G27" s="3">
        <f>_xlfn.VAR.S('Valores_Datos completos_data'!I30:I36)</f>
        <v>333.72457536694998</v>
      </c>
    </row>
    <row r="28" spans="1:7" x14ac:dyDescent="0.25">
      <c r="A28" s="5" t="s">
        <v>17</v>
      </c>
      <c r="B28" s="3">
        <f>_xlfn.VAR.S('Valores_Datos completos_data'!D37:D43)</f>
        <v>5.819697696018325E-3</v>
      </c>
      <c r="C28" s="3">
        <f>_xlfn.VAR.S('Valores_Datos completos_data'!E37:E43)</f>
        <v>8.9652111245229465E-3</v>
      </c>
      <c r="D28" s="3">
        <f>_xlfn.VAR.S('Valores_Datos completos_data'!F37:F43)</f>
        <v>55037.422060061617</v>
      </c>
      <c r="E28" s="3">
        <f>_xlfn.VAR.S('Valores_Datos completos_data'!G37:G43)</f>
        <v>88191.596984828255</v>
      </c>
      <c r="F28" s="3">
        <f>_xlfn.VAR.S('Valores_Datos completos_data'!H37:H43)</f>
        <v>853.05984231584046</v>
      </c>
      <c r="G28" s="3">
        <f>_xlfn.VAR.S('Valores_Datos completos_data'!I37:I43)</f>
        <v>1364.5287394677337</v>
      </c>
    </row>
    <row r="29" spans="1:7" x14ac:dyDescent="0.25">
      <c r="A29" s="5" t="s">
        <v>18</v>
      </c>
      <c r="B29" s="3">
        <f>_xlfn.VAR.S('Valores_Datos completos_data'!D44:D50)</f>
        <v>1.5697152851852523E-3</v>
      </c>
      <c r="C29" s="3">
        <f>_xlfn.VAR.S('Valores_Datos completos_data'!E44:E50)</f>
        <v>2.1470247590602664E-3</v>
      </c>
      <c r="D29" s="3">
        <f>_xlfn.VAR.S('Valores_Datos completos_data'!F44:F50)</f>
        <v>75315.809938346531</v>
      </c>
      <c r="E29" s="3">
        <f>_xlfn.VAR.S('Valores_Datos completos_data'!G44:G50)</f>
        <v>428962.17401347781</v>
      </c>
      <c r="F29" s="3">
        <f>_xlfn.VAR.S('Valores_Datos completos_data'!H44:H50)</f>
        <v>722.40937559316615</v>
      </c>
      <c r="G29" s="3">
        <f>_xlfn.VAR.S('Valores_Datos completos_data'!I44:I50)</f>
        <v>4046.3784999344607</v>
      </c>
    </row>
    <row r="30" spans="1:7" x14ac:dyDescent="0.25">
      <c r="A30" s="5" t="s">
        <v>19</v>
      </c>
      <c r="B30" s="3">
        <f>_xlfn.VAR.S('Valores_Datos completos_data'!D51:D57)</f>
        <v>11.856953714346675</v>
      </c>
      <c r="C30" s="3">
        <f>_xlfn.VAR.S('Valores_Datos completos_data'!E51:E57)</f>
        <v>12.088958521480246</v>
      </c>
      <c r="D30" s="3">
        <f>_xlfn.VAR.S('Valores_Datos completos_data'!F51:F57)</f>
        <v>1805239.4171127502</v>
      </c>
      <c r="E30" s="3">
        <f>_xlfn.VAR.S('Valores_Datos completos_data'!G51:G57)</f>
        <v>4031219.4966002828</v>
      </c>
      <c r="F30" s="3">
        <f>_xlfn.VAR.S('Valores_Datos completos_data'!H51:H57)</f>
        <v>3535581.5302382186</v>
      </c>
      <c r="G30" s="3">
        <f>_xlfn.VAR.S('Valores_Datos completos_data'!I51:I57)</f>
        <v>9995943.5916093793</v>
      </c>
    </row>
    <row r="31" spans="1:7" x14ac:dyDescent="0.25">
      <c r="A31" s="5" t="s">
        <v>20</v>
      </c>
      <c r="B31" s="3">
        <f>_xlfn.VAR.S('Valores_Datos completos_data'!D58:D64)</f>
        <v>1.2821149302874127E-2</v>
      </c>
      <c r="C31" s="3">
        <f>_xlfn.VAR.S('Valores_Datos completos_data'!E58:E64)</f>
        <v>1.6157818138144715E-2</v>
      </c>
      <c r="D31" s="3">
        <f>_xlfn.VAR.S('Valores_Datos completos_data'!F58:F64)</f>
        <v>54620.048783785285</v>
      </c>
      <c r="E31" s="3">
        <f>_xlfn.VAR.S('Valores_Datos completos_data'!G58:G64)</f>
        <v>272873.69973345532</v>
      </c>
      <c r="F31" s="3">
        <f>_xlfn.VAR.S('Valores_Datos completos_data'!H58:H64)</f>
        <v>3904.9970778064599</v>
      </c>
      <c r="G31" s="3">
        <f>_xlfn.VAR.S('Valores_Datos completos_data'!I58:I64)</f>
        <v>18613.706543850745</v>
      </c>
    </row>
    <row r="32" spans="1:7" x14ac:dyDescent="0.25">
      <c r="A32" s="5" t="s">
        <v>21</v>
      </c>
      <c r="B32" s="3">
        <f>_xlfn.VAR.S('Valores_Datos completos_data'!D65:D71)</f>
        <v>0.29002317421767765</v>
      </c>
      <c r="C32" s="3">
        <f>_xlfn.VAR.S('Valores_Datos completos_data'!E65:E71)</f>
        <v>0.31795188194148588</v>
      </c>
      <c r="D32" s="3">
        <f>_xlfn.VAR.S('Valores_Datos completos_data'!F65:F71)</f>
        <v>194335.60883254779</v>
      </c>
      <c r="E32" s="3">
        <f>_xlfn.VAR.S('Valores_Datos completos_data'!G65:G71)</f>
        <v>535516.69093249238</v>
      </c>
      <c r="F32" s="3">
        <f>_xlfn.VAR.S('Valores_Datos completos_data'!H65:H71)</f>
        <v>76940.15353900443</v>
      </c>
      <c r="G32" s="3">
        <f>_xlfn.VAR.S('Valores_Datos completos_data'!I65:I71)</f>
        <v>232463.68631645045</v>
      </c>
    </row>
    <row r="36" spans="1:7" x14ac:dyDescent="0.25">
      <c r="B36" s="9" t="s">
        <v>26</v>
      </c>
      <c r="C36" s="9"/>
      <c r="D36" s="9"/>
      <c r="E36" s="9"/>
      <c r="F36" s="9"/>
      <c r="G36" s="9"/>
    </row>
    <row r="37" spans="1:7" x14ac:dyDescent="0.25">
      <c r="A37" s="3"/>
      <c r="B37" s="4" t="s">
        <v>3</v>
      </c>
      <c r="C37" s="4" t="s">
        <v>4</v>
      </c>
      <c r="D37" s="4" t="s">
        <v>5</v>
      </c>
      <c r="E37" s="4" t="s">
        <v>6</v>
      </c>
      <c r="F37" s="4" t="s">
        <v>7</v>
      </c>
      <c r="G37" s="4" t="s">
        <v>8</v>
      </c>
    </row>
    <row r="38" spans="1:7" x14ac:dyDescent="0.25">
      <c r="A38" s="5" t="s">
        <v>12</v>
      </c>
      <c r="B38" s="3">
        <f>_xlfn.STDEV.S('Valores_Datos completos_data'!D2:D8)</f>
        <v>0.18565705918382941</v>
      </c>
      <c r="C38" s="3">
        <f>_xlfn.STDEV.S('Valores_Datos completos_data'!E2:E8)</f>
        <v>0.12490583515903773</v>
      </c>
      <c r="D38" s="3">
        <f>_xlfn.STDEV.S('Valores_Datos completos_data'!F2:F8)</f>
        <v>217.32854243375169</v>
      </c>
      <c r="E38" s="3">
        <f>_xlfn.STDEV.S('Valores_Datos completos_data'!G2:G8)</f>
        <v>275.20475230007588</v>
      </c>
      <c r="F38" s="3">
        <f>_xlfn.STDEV.S('Valores_Datos completos_data'!H2:H8)</f>
        <v>67.934698320366408</v>
      </c>
      <c r="G38" s="3">
        <f>_xlfn.STDEV.S('Valores_Datos completos_data'!I2:I8)</f>
        <v>80.05771884364988</v>
      </c>
    </row>
    <row r="39" spans="1:7" x14ac:dyDescent="0.25">
      <c r="A39" s="5" t="s">
        <v>13</v>
      </c>
      <c r="B39" s="3">
        <f>_xlfn.STDEV.S('Valores_Datos completos_data'!D9:D15)</f>
        <v>0.12275615467977755</v>
      </c>
      <c r="C39" s="3">
        <f>_xlfn.STDEV.S('Valores_Datos completos_data'!E9:E15)</f>
        <v>0.11104506300452066</v>
      </c>
      <c r="D39" s="3">
        <f>_xlfn.STDEV.S('Valores_Datos completos_data'!F9:F15)</f>
        <v>182.28096181904866</v>
      </c>
      <c r="E39" s="3">
        <f>_xlfn.STDEV.S('Valores_Datos completos_data'!G9:G15)</f>
        <v>427.0058916356877</v>
      </c>
      <c r="F39" s="3">
        <f>_xlfn.STDEV.S('Valores_Datos completos_data'!H9:H15)</f>
        <v>53.34429926665667</v>
      </c>
      <c r="G39" s="3">
        <f>_xlfn.STDEV.S('Valores_Datos completos_data'!I9:I15)</f>
        <v>129.84253834497574</v>
      </c>
    </row>
    <row r="40" spans="1:7" x14ac:dyDescent="0.25">
      <c r="A40" s="5" t="s">
        <v>14</v>
      </c>
      <c r="B40" s="3">
        <f>_xlfn.STDEV.S('Valores_Datos completos_data'!D16:D22)</f>
        <v>3.0390191597379408</v>
      </c>
      <c r="C40" s="3">
        <f>_xlfn.STDEV.S('Valores_Datos completos_data'!E16:E22)</f>
        <v>3.1131770282854143</v>
      </c>
      <c r="D40" s="3">
        <f>_xlfn.STDEV.S('Valores_Datos completos_data'!F16:F22)</f>
        <v>4319.9807864013355</v>
      </c>
      <c r="E40" s="3">
        <f>_xlfn.STDEV.S('Valores_Datos completos_data'!G16:G22)</f>
        <v>7244.0681178507302</v>
      </c>
      <c r="F40" s="3">
        <f>_xlfn.STDEV.S('Valores_Datos completos_data'!H16:H22)</f>
        <v>1555.8479072057744</v>
      </c>
      <c r="G40" s="3">
        <f>_xlfn.STDEV.S('Valores_Datos completos_data'!I16:I22)</f>
        <v>2593.4121952540986</v>
      </c>
    </row>
    <row r="41" spans="1:7" x14ac:dyDescent="0.25">
      <c r="A41" s="5" t="s">
        <v>15</v>
      </c>
      <c r="B41" s="3">
        <f>_xlfn.STDEV.S('Valores_Datos completos_data'!D23:D29)</f>
        <v>0.28324401485386191</v>
      </c>
      <c r="C41" s="3">
        <f>_xlfn.STDEV.S('Valores_Datos completos_data'!E23:E29)</f>
        <v>0.31089643497731551</v>
      </c>
      <c r="D41" s="3">
        <f>_xlfn.STDEV.S('Valores_Datos completos_data'!F23:F29)</f>
        <v>219.61837728706334</v>
      </c>
      <c r="E41" s="3">
        <f>_xlfn.STDEV.S('Valores_Datos completos_data'!G23:G29)</f>
        <v>441.15378413030544</v>
      </c>
      <c r="F41" s="3">
        <f>_xlfn.STDEV.S('Valores_Datos completos_data'!H23:H29)</f>
        <v>187.93859009960568</v>
      </c>
      <c r="G41" s="3">
        <f>_xlfn.STDEV.S('Valores_Datos completos_data'!I23:I29)</f>
        <v>355.72991538504709</v>
      </c>
    </row>
    <row r="42" spans="1:7" x14ac:dyDescent="0.25">
      <c r="A42" s="5" t="s">
        <v>16</v>
      </c>
      <c r="B42" s="3">
        <f>_xlfn.STDEV.S('Valores_Datos completos_data'!D30:D36)</f>
        <v>2.1787687496899407E-2</v>
      </c>
      <c r="C42" s="3">
        <f>_xlfn.STDEV.S('Valores_Datos completos_data'!E30:E36)</f>
        <v>2.5903501431365685E-2</v>
      </c>
      <c r="D42" s="3">
        <f>_xlfn.STDEV.S('Valores_Datos completos_data'!F30:F36)</f>
        <v>75.346739364032501</v>
      </c>
      <c r="E42" s="3">
        <f>_xlfn.STDEV.S('Valores_Datos completos_data'!G30:G36)</f>
        <v>193.02093621824025</v>
      </c>
      <c r="F42" s="3">
        <f>_xlfn.STDEV.S('Valores_Datos completos_data'!H30:H36)</f>
        <v>7.9766468515448707</v>
      </c>
      <c r="G42" s="3">
        <f>_xlfn.STDEV.S('Valores_Datos completos_data'!I30:I36)</f>
        <v>18.268130045709384</v>
      </c>
    </row>
    <row r="43" spans="1:7" x14ac:dyDescent="0.25">
      <c r="A43" s="5" t="s">
        <v>17</v>
      </c>
      <c r="B43" s="3">
        <f>_xlfn.STDEV.S('Valores_Datos completos_data'!D37:D43)</f>
        <v>7.6286943155551359E-2</v>
      </c>
      <c r="C43" s="3">
        <f>_xlfn.STDEV.S('Valores_Datos completos_data'!E37:E43)</f>
        <v>9.4684798803836234E-2</v>
      </c>
      <c r="D43" s="3">
        <f>_xlfn.STDEV.S('Valores_Datos completos_data'!F37:F43)</f>
        <v>234.60055852461565</v>
      </c>
      <c r="E43" s="3">
        <f>_xlfn.STDEV.S('Valores_Datos completos_data'!G37:G43)</f>
        <v>296.97070054944521</v>
      </c>
      <c r="F43" s="3">
        <f>_xlfn.STDEV.S('Valores_Datos completos_data'!H37:H43)</f>
        <v>29.207188195987651</v>
      </c>
      <c r="G43" s="3">
        <f>_xlfn.STDEV.S('Valores_Datos completos_data'!I37:I43)</f>
        <v>36.939528143544734</v>
      </c>
    </row>
    <row r="44" spans="1:7" x14ac:dyDescent="0.25">
      <c r="A44" s="5" t="s">
        <v>18</v>
      </c>
      <c r="B44" s="3">
        <f>_xlfn.STDEV.S('Valores_Datos completos_data'!D44:D50)</f>
        <v>3.9619632572567509E-2</v>
      </c>
      <c r="C44" s="3">
        <f>_xlfn.STDEV.S('Valores_Datos completos_data'!E44:E50)</f>
        <v>4.6335998522318116E-2</v>
      </c>
      <c r="D44" s="3">
        <f>_xlfn.STDEV.S('Valores_Datos completos_data'!F44:F50)</f>
        <v>274.43726047741137</v>
      </c>
      <c r="E44" s="3">
        <f>_xlfn.STDEV.S('Valores_Datos completos_data'!G44:G50)</f>
        <v>654.95203947577556</v>
      </c>
      <c r="F44" s="3">
        <f>_xlfn.STDEV.S('Valores_Datos completos_data'!H44:H50)</f>
        <v>26.877674296582398</v>
      </c>
      <c r="G44" s="3">
        <f>_xlfn.STDEV.S('Valores_Datos completos_data'!I44:I50)</f>
        <v>63.611150751534602</v>
      </c>
    </row>
    <row r="45" spans="1:7" x14ac:dyDescent="0.25">
      <c r="A45" s="5" t="s">
        <v>19</v>
      </c>
      <c r="B45" s="3">
        <f>_xlfn.STDEV.S('Valores_Datos completos_data'!D51:D57)</f>
        <v>3.4433927621383353</v>
      </c>
      <c r="C45" s="3">
        <f>_xlfn.STDEV.S('Valores_Datos completos_data'!E51:E57)</f>
        <v>3.4769179630069278</v>
      </c>
      <c r="D45" s="3">
        <f>_xlfn.STDEV.S('Valores_Datos completos_data'!F51:F57)</f>
        <v>1343.591983123132</v>
      </c>
      <c r="E45" s="3">
        <f>_xlfn.STDEV.S('Valores_Datos completos_data'!G51:G57)</f>
        <v>2007.7897042768905</v>
      </c>
      <c r="F45" s="3">
        <f>_xlfn.STDEV.S('Valores_Datos completos_data'!H51:H57)</f>
        <v>1880.3142105079721</v>
      </c>
      <c r="G45" s="3">
        <f>_xlfn.STDEV.S('Valores_Datos completos_data'!I51:I57)</f>
        <v>3161.6362206315544</v>
      </c>
    </row>
    <row r="46" spans="1:7" x14ac:dyDescent="0.25">
      <c r="A46" s="5" t="s">
        <v>20</v>
      </c>
      <c r="B46" s="3">
        <f>_xlfn.STDEV.S('Valores_Datos completos_data'!D58:D64)</f>
        <v>0.11323051400958192</v>
      </c>
      <c r="C46" s="3">
        <f>_xlfn.STDEV.S('Valores_Datos completos_data'!E58:E64)</f>
        <v>0.12711340660270543</v>
      </c>
      <c r="D46" s="3">
        <f>_xlfn.STDEV.S('Valores_Datos completos_data'!F58:F64)</f>
        <v>233.70932541040224</v>
      </c>
      <c r="E46" s="3">
        <f>_xlfn.STDEV.S('Valores_Datos completos_data'!G58:G64)</f>
        <v>522.3731422397741</v>
      </c>
      <c r="F46" s="3">
        <f>_xlfn.STDEV.S('Valores_Datos completos_data'!H58:H64)</f>
        <v>62.489975818577975</v>
      </c>
      <c r="G46" s="3">
        <f>_xlfn.STDEV.S('Valores_Datos completos_data'!I58:I64)</f>
        <v>136.43205834352403</v>
      </c>
    </row>
    <row r="47" spans="1:7" x14ac:dyDescent="0.25">
      <c r="A47" s="5" t="s">
        <v>21</v>
      </c>
      <c r="B47" s="3">
        <f>_xlfn.STDEV.S('Valores_Datos completos_data'!D65:D71)</f>
        <v>0.53853799700455462</v>
      </c>
      <c r="C47" s="3">
        <f>_xlfn.STDEV.S('Valores_Datos completos_data'!E65:E71)</f>
        <v>0.5638722212890841</v>
      </c>
      <c r="D47" s="3">
        <f>_xlfn.STDEV.S('Valores_Datos completos_data'!F65:F71)</f>
        <v>440.83512658651398</v>
      </c>
      <c r="E47" s="3">
        <f>_xlfn.STDEV.S('Valores_Datos completos_data'!G65:G71)</f>
        <v>731.7900593288299</v>
      </c>
      <c r="F47" s="3">
        <f>_xlfn.STDEV.S('Valores_Datos completos_data'!H65:H71)</f>
        <v>277.38088171141936</v>
      </c>
      <c r="G47" s="3">
        <f>_xlfn.STDEV.S('Valores_Datos completos_data'!I65:I71)</f>
        <v>482.14488104349965</v>
      </c>
    </row>
    <row r="52" spans="1:2" x14ac:dyDescent="0.25">
      <c r="A52" s="1" t="s">
        <v>1</v>
      </c>
      <c r="B52" t="s">
        <v>32</v>
      </c>
    </row>
    <row r="53" spans="1:2" x14ac:dyDescent="0.25">
      <c r="A53" t="s">
        <v>12</v>
      </c>
      <c r="B53" s="8">
        <v>40800.176302406995</v>
      </c>
    </row>
    <row r="54" spans="1:2" x14ac:dyDescent="0.25">
      <c r="A54" t="s">
        <v>15</v>
      </c>
      <c r="B54" s="8">
        <v>41583.633580174996</v>
      </c>
    </row>
    <row r="55" spans="1:2" x14ac:dyDescent="0.25">
      <c r="A55" t="s">
        <v>13</v>
      </c>
      <c r="B55" s="8">
        <v>46847.751507224006</v>
      </c>
    </row>
    <row r="56" spans="1:2" x14ac:dyDescent="0.25">
      <c r="A56" t="s">
        <v>14</v>
      </c>
      <c r="B56" s="8">
        <v>204463.74102012598</v>
      </c>
    </row>
    <row r="57" spans="1:2" x14ac:dyDescent="0.25">
      <c r="A57" t="s">
        <v>16</v>
      </c>
      <c r="B57" s="8">
        <v>21142.585546923998</v>
      </c>
    </row>
    <row r="58" spans="1:2" x14ac:dyDescent="0.25">
      <c r="A58" t="s">
        <v>17</v>
      </c>
      <c r="B58" s="8">
        <v>54297.662631223997</v>
      </c>
    </row>
    <row r="59" spans="1:2" x14ac:dyDescent="0.25">
      <c r="A59" t="s">
        <v>18</v>
      </c>
      <c r="B59" s="8">
        <v>51138.297624085004</v>
      </c>
    </row>
    <row r="60" spans="1:2" x14ac:dyDescent="0.25">
      <c r="A60" t="s">
        <v>19</v>
      </c>
      <c r="B60" s="8">
        <v>180938.13105735902</v>
      </c>
    </row>
    <row r="61" spans="1:2" x14ac:dyDescent="0.25">
      <c r="A61" t="s">
        <v>21</v>
      </c>
      <c r="B61" s="8">
        <v>29211.74685222</v>
      </c>
    </row>
    <row r="62" spans="1:2" x14ac:dyDescent="0.25">
      <c r="A62" t="s">
        <v>20</v>
      </c>
      <c r="B62" s="8">
        <v>41110.581323969003</v>
      </c>
    </row>
    <row r="71" spans="1:2" x14ac:dyDescent="0.25">
      <c r="A71" s="1" t="s">
        <v>1</v>
      </c>
      <c r="B71" t="s">
        <v>22</v>
      </c>
    </row>
    <row r="72" spans="1:2" x14ac:dyDescent="0.25">
      <c r="A72" t="s">
        <v>12</v>
      </c>
      <c r="B72">
        <v>19.066303307000002</v>
      </c>
    </row>
    <row r="73" spans="1:2" x14ac:dyDescent="0.25">
      <c r="A73" t="s">
        <v>15</v>
      </c>
      <c r="B73">
        <v>78.971794418999991</v>
      </c>
    </row>
    <row r="74" spans="1:2" x14ac:dyDescent="0.25">
      <c r="A74" t="s">
        <v>13</v>
      </c>
      <c r="B74">
        <v>39.877077100000008</v>
      </c>
    </row>
    <row r="75" spans="1:2" x14ac:dyDescent="0.25">
      <c r="A75" t="s">
        <v>14</v>
      </c>
      <c r="B75">
        <v>197.28567132799998</v>
      </c>
    </row>
    <row r="76" spans="1:2" x14ac:dyDescent="0.25">
      <c r="A76" t="s">
        <v>16</v>
      </c>
      <c r="B76">
        <v>5.0096158480000001</v>
      </c>
    </row>
    <row r="77" spans="1:2" x14ac:dyDescent="0.25">
      <c r="A77" t="s">
        <v>17</v>
      </c>
      <c r="B77">
        <v>19.247525335999999</v>
      </c>
    </row>
    <row r="78" spans="1:2" x14ac:dyDescent="0.25">
      <c r="A78" t="s">
        <v>18</v>
      </c>
      <c r="B78">
        <v>15.175462295000001</v>
      </c>
    </row>
    <row r="79" spans="1:2" x14ac:dyDescent="0.25">
      <c r="A79" t="s">
        <v>19</v>
      </c>
      <c r="B79">
        <v>950.0596639659999</v>
      </c>
    </row>
    <row r="80" spans="1:2" x14ac:dyDescent="0.25">
      <c r="A80" t="s">
        <v>21</v>
      </c>
      <c r="B80">
        <v>42.836824872000001</v>
      </c>
    </row>
    <row r="81" spans="1:2" x14ac:dyDescent="0.25">
      <c r="A81" t="s">
        <v>20</v>
      </c>
      <c r="B81">
        <v>32.470061528999999</v>
      </c>
    </row>
    <row r="87" spans="1:2" x14ac:dyDescent="0.25">
      <c r="A87" s="1" t="s">
        <v>1</v>
      </c>
      <c r="B87" t="s">
        <v>31</v>
      </c>
    </row>
    <row r="88" spans="1:2" x14ac:dyDescent="0.25">
      <c r="A88" t="s">
        <v>14</v>
      </c>
      <c r="B88" s="8">
        <v>190860.89585016202</v>
      </c>
    </row>
    <row r="89" spans="1:2" x14ac:dyDescent="0.25">
      <c r="A89" t="s">
        <v>19</v>
      </c>
      <c r="B89" s="8">
        <v>167405.837694886</v>
      </c>
    </row>
    <row r="90" spans="1:2" x14ac:dyDescent="0.25">
      <c r="A90" t="s">
        <v>17</v>
      </c>
      <c r="B90" s="8">
        <v>44574.525953889999</v>
      </c>
    </row>
    <row r="91" spans="1:2" x14ac:dyDescent="0.25">
      <c r="A91" t="s">
        <v>18</v>
      </c>
      <c r="B91" s="8">
        <v>44175.437497614999</v>
      </c>
    </row>
    <row r="92" spans="1:2" x14ac:dyDescent="0.25">
      <c r="A92" t="s">
        <v>13</v>
      </c>
      <c r="B92" s="8">
        <v>43668.044282841001</v>
      </c>
    </row>
    <row r="93" spans="1:2" x14ac:dyDescent="0.25">
      <c r="A93" t="s">
        <v>21</v>
      </c>
      <c r="B93" s="8">
        <v>43555.835188833007</v>
      </c>
    </row>
    <row r="94" spans="1:2" x14ac:dyDescent="0.25">
      <c r="A94" t="s">
        <v>20</v>
      </c>
      <c r="B94" s="8">
        <v>37635.087316769001</v>
      </c>
    </row>
    <row r="95" spans="1:2" x14ac:dyDescent="0.25">
      <c r="A95" t="s">
        <v>15</v>
      </c>
      <c r="B95" s="8">
        <v>32722.134197629999</v>
      </c>
    </row>
    <row r="96" spans="1:2" x14ac:dyDescent="0.25">
      <c r="A96" t="s">
        <v>12</v>
      </c>
      <c r="B96" s="8">
        <v>32064.970625016002</v>
      </c>
    </row>
    <row r="97" spans="1:2" x14ac:dyDescent="0.25">
      <c r="A97" t="s">
        <v>16</v>
      </c>
      <c r="B97" s="8">
        <v>19883.994597736</v>
      </c>
    </row>
    <row r="98" spans="1:2" x14ac:dyDescent="0.25">
      <c r="A98" t="s">
        <v>24</v>
      </c>
      <c r="B98" s="8">
        <v>656546.76320537785</v>
      </c>
    </row>
    <row r="105" spans="1:2" x14ac:dyDescent="0.25">
      <c r="A105" s="1" t="s">
        <v>1</v>
      </c>
      <c r="B105" t="s">
        <v>22</v>
      </c>
    </row>
    <row r="106" spans="1:2" x14ac:dyDescent="0.25">
      <c r="A106" t="s">
        <v>19</v>
      </c>
      <c r="B106" s="8">
        <v>450.36767984900007</v>
      </c>
    </row>
    <row r="107" spans="1:2" x14ac:dyDescent="0.25">
      <c r="A107" t="s">
        <v>14</v>
      </c>
      <c r="B107" s="8">
        <v>106.452531467</v>
      </c>
    </row>
    <row r="108" spans="1:2" x14ac:dyDescent="0.25">
      <c r="A108" t="s">
        <v>21</v>
      </c>
      <c r="B108" s="8">
        <v>42.836824871999994</v>
      </c>
    </row>
    <row r="109" spans="1:2" x14ac:dyDescent="0.25">
      <c r="A109" t="s">
        <v>15</v>
      </c>
      <c r="B109" s="8">
        <v>37.245894962999998</v>
      </c>
    </row>
    <row r="110" spans="1:2" x14ac:dyDescent="0.25">
      <c r="A110" t="s">
        <v>13</v>
      </c>
      <c r="B110" s="8">
        <v>19.534855678999996</v>
      </c>
    </row>
    <row r="111" spans="1:2" x14ac:dyDescent="0.25">
      <c r="A111" t="s">
        <v>20</v>
      </c>
      <c r="B111" s="8">
        <v>15.841393721999999</v>
      </c>
    </row>
    <row r="112" spans="1:2" x14ac:dyDescent="0.25">
      <c r="A112" t="s">
        <v>12</v>
      </c>
      <c r="B112" s="8">
        <v>9.1264969550000004</v>
      </c>
    </row>
    <row r="113" spans="1:2" x14ac:dyDescent="0.25">
      <c r="A113" t="s">
        <v>17</v>
      </c>
      <c r="B113" s="8">
        <v>9.0738627160000007</v>
      </c>
    </row>
    <row r="114" spans="1:2" x14ac:dyDescent="0.25">
      <c r="A114" t="s">
        <v>18</v>
      </c>
      <c r="B114" s="8">
        <v>7.1987818379999995</v>
      </c>
    </row>
    <row r="115" spans="1:2" x14ac:dyDescent="0.25">
      <c r="A115" t="s">
        <v>16</v>
      </c>
      <c r="B115" s="8">
        <v>2.3216779369999996</v>
      </c>
    </row>
    <row r="116" spans="1:2" x14ac:dyDescent="0.25">
      <c r="A116" t="s">
        <v>24</v>
      </c>
      <c r="B116" s="8">
        <v>699.99999999800013</v>
      </c>
    </row>
  </sheetData>
  <mergeCells count="3">
    <mergeCell ref="B6:G6"/>
    <mergeCell ref="B21:G21"/>
    <mergeCell ref="B36:G36"/>
  </mergeCells>
  <pageMargins left="0.7" right="0.7" top="0.75" bottom="0.75" header="0.3" footer="0.3"/>
  <pageSetup orientation="portrait" r:id="rId5"/>
  <ignoredErrors>
    <ignoredError sqref="B8:G17 B23:G32 B38:G47" formulaRange="1"/>
  </ignoredErrors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605ED-EBD7-4D1B-AA3B-9C841F106A51}">
  <dimension ref="B2:N76"/>
  <sheetViews>
    <sheetView workbookViewId="0"/>
  </sheetViews>
  <sheetFormatPr baseColWidth="10" defaultRowHeight="15" x14ac:dyDescent="0.25"/>
  <sheetData>
    <row r="2" spans="2:14" x14ac:dyDescent="0.25">
      <c r="B2" s="6" t="s">
        <v>27</v>
      </c>
    </row>
    <row r="3" spans="2:14" x14ac:dyDescent="0.25">
      <c r="B3" s="7" t="s">
        <v>28</v>
      </c>
    </row>
    <row r="4" spans="2:14" x14ac:dyDescent="0.25">
      <c r="B4" s="7" t="s">
        <v>29</v>
      </c>
    </row>
    <row r="6" spans="2:14" x14ac:dyDescent="0.25">
      <c r="C6" t="s">
        <v>0</v>
      </c>
      <c r="D6" t="s">
        <v>1</v>
      </c>
      <c r="E6" t="s">
        <v>2</v>
      </c>
      <c r="F6" t="s">
        <v>3</v>
      </c>
      <c r="G6" t="s">
        <v>4</v>
      </c>
      <c r="H6" t="s">
        <v>5</v>
      </c>
      <c r="I6" t="s">
        <v>6</v>
      </c>
      <c r="J6" t="s">
        <v>7</v>
      </c>
      <c r="K6" t="s">
        <v>8</v>
      </c>
      <c r="L6" t="s">
        <v>30</v>
      </c>
      <c r="M6" t="s">
        <v>10</v>
      </c>
      <c r="N6" t="s">
        <v>11</v>
      </c>
    </row>
    <row r="7" spans="2:14" x14ac:dyDescent="0.25">
      <c r="C7" s="8">
        <v>1</v>
      </c>
      <c r="D7" s="8" t="s">
        <v>12</v>
      </c>
      <c r="E7" s="8">
        <v>2014</v>
      </c>
      <c r="F7" s="8">
        <v>1.2677984250000001</v>
      </c>
      <c r="G7" s="8">
        <v>1.262574428</v>
      </c>
      <c r="H7" s="8">
        <v>2869.4864433460002</v>
      </c>
      <c r="I7" s="8">
        <v>4146.5727415680003</v>
      </c>
      <c r="J7" s="8">
        <v>436.17341733400002</v>
      </c>
      <c r="K7" s="8">
        <v>630.29564300899995</v>
      </c>
      <c r="L7" s="8">
        <v>630.29564300899995</v>
      </c>
      <c r="M7" s="8">
        <v>5.1748825299999996</v>
      </c>
      <c r="N7" s="8">
        <v>3.703681628</v>
      </c>
    </row>
    <row r="8" spans="2:14" x14ac:dyDescent="0.25">
      <c r="C8" s="8">
        <v>1</v>
      </c>
      <c r="D8" s="8" t="s">
        <v>12</v>
      </c>
      <c r="E8" s="8">
        <v>2015</v>
      </c>
      <c r="F8" s="8">
        <v>1.322684499</v>
      </c>
      <c r="G8" s="8">
        <v>1.2744715390000001</v>
      </c>
      <c r="H8" s="8">
        <v>3074.8327653289998</v>
      </c>
      <c r="I8" s="8">
        <v>4405.6255913269997</v>
      </c>
      <c r="J8" s="8">
        <v>481.143681453</v>
      </c>
      <c r="K8" s="8">
        <v>689.38348127999996</v>
      </c>
      <c r="L8" s="8">
        <v>689.38348127999996</v>
      </c>
      <c r="M8" s="8">
        <v>10.310179926</v>
      </c>
      <c r="N8" s="8">
        <v>9.3746226749999995</v>
      </c>
    </row>
    <row r="9" spans="2:14" x14ac:dyDescent="0.25">
      <c r="C9" s="8">
        <v>1</v>
      </c>
      <c r="D9" s="8" t="s">
        <v>12</v>
      </c>
      <c r="E9" s="8">
        <v>2016</v>
      </c>
      <c r="F9" s="8">
        <v>1.3107696019999999</v>
      </c>
      <c r="G9" s="8">
        <v>1.287107894</v>
      </c>
      <c r="H9" s="8">
        <v>3108.3620336479999</v>
      </c>
      <c r="I9" s="8">
        <v>4629.5794789780002</v>
      </c>
      <c r="J9" s="8">
        <v>500.42763724500003</v>
      </c>
      <c r="K9" s="8">
        <v>745.33451863899995</v>
      </c>
      <c r="L9" s="8">
        <v>745.33451863899995</v>
      </c>
      <c r="M9" s="8">
        <v>4.0079411900000004</v>
      </c>
      <c r="N9" s="8">
        <v>8.1160977709999997</v>
      </c>
    </row>
    <row r="10" spans="2:14" x14ac:dyDescent="0.25">
      <c r="C10" s="8">
        <v>1</v>
      </c>
      <c r="D10" s="8" t="s">
        <v>12</v>
      </c>
      <c r="E10" s="8">
        <v>2017</v>
      </c>
      <c r="F10" s="8">
        <v>1.3057243009999999</v>
      </c>
      <c r="G10" s="8">
        <v>1.2673509080000001</v>
      </c>
      <c r="H10" s="8">
        <v>3178.1664647379998</v>
      </c>
      <c r="I10" s="8">
        <v>4759.7952121839999</v>
      </c>
      <c r="J10" s="8">
        <v>526.37428622300001</v>
      </c>
      <c r="K10" s="8">
        <v>788.32680263199995</v>
      </c>
      <c r="L10" s="8">
        <v>788.32680263199995</v>
      </c>
      <c r="M10" s="8">
        <v>5.1848952869999998</v>
      </c>
      <c r="N10" s="8">
        <v>5.768186354</v>
      </c>
    </row>
    <row r="11" spans="2:14" x14ac:dyDescent="0.25">
      <c r="C11" s="8">
        <v>1</v>
      </c>
      <c r="D11" s="8" t="s">
        <v>12</v>
      </c>
      <c r="E11" s="8">
        <v>2018</v>
      </c>
      <c r="F11" s="8">
        <v>1.3588635570000001</v>
      </c>
      <c r="G11" s="8">
        <v>1.3087777140000001</v>
      </c>
      <c r="H11" s="8">
        <v>3334.8073954279998</v>
      </c>
      <c r="I11" s="8">
        <v>4989.3238459450004</v>
      </c>
      <c r="J11" s="8">
        <v>567.98439558899997</v>
      </c>
      <c r="K11" s="8">
        <v>849.78163744100004</v>
      </c>
      <c r="L11" s="8">
        <v>849.78163744100004</v>
      </c>
      <c r="M11" s="8">
        <v>7.9050421829999999</v>
      </c>
      <c r="N11" s="8">
        <v>7.7956038789999997</v>
      </c>
    </row>
    <row r="12" spans="2:14" x14ac:dyDescent="0.25">
      <c r="C12" s="8">
        <v>1</v>
      </c>
      <c r="D12" s="8" t="s">
        <v>12</v>
      </c>
      <c r="E12" s="8">
        <v>2019</v>
      </c>
      <c r="F12" s="8">
        <v>1.352719751</v>
      </c>
      <c r="G12" s="8">
        <v>1.160151004</v>
      </c>
      <c r="H12" s="8">
        <v>3324.9249209310001</v>
      </c>
      <c r="I12" s="8">
        <v>4437.6202982790001</v>
      </c>
      <c r="J12" s="8">
        <v>582.26417707799999</v>
      </c>
      <c r="K12" s="8">
        <v>777.12050425500001</v>
      </c>
      <c r="L12" s="8">
        <v>777.12050425500001</v>
      </c>
      <c r="M12" s="8">
        <v>2.5141151060000002</v>
      </c>
      <c r="N12" s="8">
        <v>-8.5505652259999998</v>
      </c>
    </row>
    <row r="13" spans="2:14" x14ac:dyDescent="0.25">
      <c r="C13" s="8">
        <v>1</v>
      </c>
      <c r="D13" s="8" t="s">
        <v>12</v>
      </c>
      <c r="E13" s="8">
        <v>2020</v>
      </c>
      <c r="F13" s="8">
        <v>1.8042642529999999</v>
      </c>
      <c r="G13" s="8">
        <v>1.5660634680000001</v>
      </c>
      <c r="H13" s="8">
        <v>3540.5422221929998</v>
      </c>
      <c r="I13" s="8">
        <v>4696.4534567350001</v>
      </c>
      <c r="J13" s="8">
        <v>637.262194572</v>
      </c>
      <c r="K13" s="8">
        <v>845.314657678</v>
      </c>
      <c r="L13" s="8">
        <v>845.314657678</v>
      </c>
      <c r="M13" s="8">
        <v>9.4455437339999992</v>
      </c>
      <c r="N13" s="8">
        <v>8.7752353779999996</v>
      </c>
    </row>
    <row r="14" spans="2:14" x14ac:dyDescent="0.25">
      <c r="C14" s="8">
        <v>2</v>
      </c>
      <c r="D14" s="8" t="s">
        <v>13</v>
      </c>
      <c r="E14" s="8">
        <v>2014</v>
      </c>
      <c r="F14" s="8">
        <v>2.7215683909999999</v>
      </c>
      <c r="G14" s="8">
        <v>2.9379506470000001</v>
      </c>
      <c r="H14" s="8">
        <v>3677.6308454199998</v>
      </c>
      <c r="I14" s="8">
        <v>5760.652886416</v>
      </c>
      <c r="J14" s="8">
        <v>936.32849087500006</v>
      </c>
      <c r="K14" s="8">
        <v>1466.6679855340001</v>
      </c>
      <c r="L14" s="8">
        <v>1466.6679855340001</v>
      </c>
      <c r="M14" s="8">
        <v>7.5201690980000002</v>
      </c>
      <c r="N14" s="8">
        <v>12.925661746999999</v>
      </c>
    </row>
    <row r="15" spans="2:14" x14ac:dyDescent="0.25">
      <c r="C15" s="8">
        <v>2</v>
      </c>
      <c r="D15" s="8" t="s">
        <v>13</v>
      </c>
      <c r="E15" s="8">
        <v>2015</v>
      </c>
      <c r="F15" s="8">
        <v>2.5875494099999998</v>
      </c>
      <c r="G15" s="8">
        <v>2.798949538</v>
      </c>
      <c r="H15" s="8">
        <v>3662.8973654890001</v>
      </c>
      <c r="I15" s="8">
        <v>5891.7373153380004</v>
      </c>
      <c r="J15" s="8">
        <v>941.25473600999999</v>
      </c>
      <c r="K15" s="8">
        <v>1513.9997379230001</v>
      </c>
      <c r="L15" s="8">
        <v>1513.9997379230001</v>
      </c>
      <c r="M15" s="8">
        <v>0.526123597</v>
      </c>
      <c r="N15" s="8">
        <v>3.227162034</v>
      </c>
    </row>
    <row r="16" spans="2:14" x14ac:dyDescent="0.25">
      <c r="C16" s="8">
        <v>2</v>
      </c>
      <c r="D16" s="8" t="s">
        <v>13</v>
      </c>
      <c r="E16" s="8">
        <v>2016</v>
      </c>
      <c r="F16" s="8">
        <v>2.4405061670000001</v>
      </c>
      <c r="G16" s="8">
        <v>2.7510089369999999</v>
      </c>
      <c r="H16" s="8">
        <v>3592.9855666530002</v>
      </c>
      <c r="I16" s="8">
        <v>6143.1188867740002</v>
      </c>
      <c r="J16" s="8">
        <v>931.74020311499999</v>
      </c>
      <c r="K16" s="8">
        <v>1593.0458759559999</v>
      </c>
      <c r="L16" s="8">
        <v>1593.0458759559999</v>
      </c>
      <c r="M16" s="8">
        <v>-1.010835062</v>
      </c>
      <c r="N16" s="8">
        <v>5.2210139839999998</v>
      </c>
    </row>
    <row r="17" spans="3:14" x14ac:dyDescent="0.25">
      <c r="C17" s="8">
        <v>2</v>
      </c>
      <c r="D17" s="8" t="s">
        <v>13</v>
      </c>
      <c r="E17" s="8">
        <v>2017</v>
      </c>
      <c r="F17" s="8">
        <v>2.3853742649999998</v>
      </c>
      <c r="G17" s="8">
        <v>2.676419664</v>
      </c>
      <c r="H17" s="8">
        <v>3679.9789975879999</v>
      </c>
      <c r="I17" s="8">
        <v>6371.0242238150004</v>
      </c>
      <c r="J17" s="8">
        <v>961.61163188099999</v>
      </c>
      <c r="K17" s="8">
        <v>1664.8059689009999</v>
      </c>
      <c r="L17" s="8">
        <v>1664.8059689009999</v>
      </c>
      <c r="M17" s="8">
        <v>3.2059825970000002</v>
      </c>
      <c r="N17" s="8">
        <v>4.5045842069999997</v>
      </c>
    </row>
    <row r="18" spans="3:14" x14ac:dyDescent="0.25">
      <c r="C18" s="8">
        <v>2</v>
      </c>
      <c r="D18" s="8" t="s">
        <v>13</v>
      </c>
      <c r="E18" s="8">
        <v>2018</v>
      </c>
      <c r="F18" s="8">
        <v>2.422274303</v>
      </c>
      <c r="G18" s="8">
        <v>2.6777979410000001</v>
      </c>
      <c r="H18" s="8">
        <v>3845.9966014450001</v>
      </c>
      <c r="I18" s="8">
        <v>6604.5658681929999</v>
      </c>
      <c r="J18" s="8">
        <v>1012.473989317</v>
      </c>
      <c r="K18" s="8">
        <v>1738.6783830649999</v>
      </c>
      <c r="L18" s="8">
        <v>1738.6783830649999</v>
      </c>
      <c r="M18" s="8">
        <v>5.2892826739999999</v>
      </c>
      <c r="N18" s="8">
        <v>4.4372987330000004</v>
      </c>
    </row>
    <row r="19" spans="3:14" x14ac:dyDescent="0.25">
      <c r="C19" s="8">
        <v>2</v>
      </c>
      <c r="D19" s="8" t="s">
        <v>13</v>
      </c>
      <c r="E19" s="8">
        <v>2019</v>
      </c>
      <c r="F19" s="8">
        <v>2.4834812579999999</v>
      </c>
      <c r="G19" s="8">
        <v>2.7497831370000001</v>
      </c>
      <c r="H19" s="8">
        <v>4031.6528879530001</v>
      </c>
      <c r="I19" s="8">
        <v>6946.7600571450002</v>
      </c>
      <c r="J19" s="8">
        <v>1068.9887315880001</v>
      </c>
      <c r="K19" s="8">
        <v>1841.926482392</v>
      </c>
      <c r="L19" s="8">
        <v>1841.926482392</v>
      </c>
      <c r="M19" s="8">
        <v>5.5818463349999998</v>
      </c>
      <c r="N19" s="8">
        <v>5.938309254</v>
      </c>
    </row>
    <row r="20" spans="3:14" x14ac:dyDescent="0.25">
      <c r="C20" s="8">
        <v>2</v>
      </c>
      <c r="D20" s="8" t="s">
        <v>13</v>
      </c>
      <c r="E20" s="8">
        <v>2020</v>
      </c>
      <c r="F20" s="8">
        <v>2.6197727670000002</v>
      </c>
      <c r="G20" s="8">
        <v>2.9429458149999999</v>
      </c>
      <c r="H20" s="8">
        <v>3465.938071049</v>
      </c>
      <c r="I20" s="8">
        <v>5950.1850451600003</v>
      </c>
      <c r="J20" s="8">
        <v>925.29802088999998</v>
      </c>
      <c r="K20" s="8">
        <v>1588.5149513209999</v>
      </c>
      <c r="L20" s="8">
        <v>1588.5149513209999</v>
      </c>
      <c r="M20" s="8">
        <v>-13.441742316999999</v>
      </c>
      <c r="N20" s="8">
        <v>-13.757961216</v>
      </c>
    </row>
    <row r="21" spans="3:14" x14ac:dyDescent="0.25">
      <c r="C21" s="8">
        <v>3</v>
      </c>
      <c r="D21" s="8" t="s">
        <v>14</v>
      </c>
      <c r="E21" s="8">
        <v>2014</v>
      </c>
      <c r="F21" s="8">
        <v>10.167299583</v>
      </c>
      <c r="G21" s="8">
        <v>10.192145582</v>
      </c>
      <c r="H21" s="8">
        <v>11141.839184823</v>
      </c>
      <c r="I21" s="8">
        <v>16206.723167213</v>
      </c>
      <c r="J21" s="8">
        <v>3497.9581283970001</v>
      </c>
      <c r="K21" s="8">
        <v>5088.0683249000003</v>
      </c>
      <c r="L21" s="8">
        <v>5088.0683249000003</v>
      </c>
      <c r="M21" s="8">
        <v>-2.1674893609999999</v>
      </c>
      <c r="N21" s="8">
        <v>0.57851609999999998</v>
      </c>
    </row>
    <row r="22" spans="3:14" x14ac:dyDescent="0.25">
      <c r="C22" s="8">
        <v>3</v>
      </c>
      <c r="D22" s="8" t="s">
        <v>14</v>
      </c>
      <c r="E22" s="8">
        <v>2015</v>
      </c>
      <c r="F22" s="8">
        <v>12.018596007999999</v>
      </c>
      <c r="G22" s="8">
        <v>11.826457426999999</v>
      </c>
      <c r="H22" s="8">
        <v>13699.025006612001</v>
      </c>
      <c r="I22" s="8">
        <v>20044.849624252001</v>
      </c>
      <c r="J22" s="8">
        <v>4371.9205396349998</v>
      </c>
      <c r="K22" s="8">
        <v>6397.1333539329999</v>
      </c>
      <c r="L22" s="8">
        <v>6397.1333539329999</v>
      </c>
      <c r="M22" s="8">
        <v>24.984930613</v>
      </c>
      <c r="N22" s="8">
        <v>25.728133849999999</v>
      </c>
    </row>
    <row r="23" spans="3:14" x14ac:dyDescent="0.25">
      <c r="C23" s="8">
        <v>3</v>
      </c>
      <c r="D23" s="8" t="s">
        <v>14</v>
      </c>
      <c r="E23" s="8">
        <v>2016</v>
      </c>
      <c r="F23" s="8">
        <v>14.682986721000001</v>
      </c>
      <c r="G23" s="8">
        <v>14.523892562</v>
      </c>
      <c r="H23" s="8">
        <v>17281.893660954</v>
      </c>
      <c r="I23" s="8">
        <v>25928.733617645001</v>
      </c>
      <c r="J23" s="8">
        <v>5605.6932830160004</v>
      </c>
      <c r="K23" s="8">
        <v>8410.4514660879995</v>
      </c>
      <c r="L23" s="8">
        <v>8410.4514660879995</v>
      </c>
      <c r="M23" s="8">
        <v>28.220383517999998</v>
      </c>
      <c r="N23" s="8">
        <v>31.472192321000001</v>
      </c>
    </row>
    <row r="24" spans="3:14" x14ac:dyDescent="0.25">
      <c r="C24" s="8">
        <v>3</v>
      </c>
      <c r="D24" s="8" t="s">
        <v>14</v>
      </c>
      <c r="E24" s="8">
        <v>2017</v>
      </c>
      <c r="F24" s="8">
        <v>17.163721643999999</v>
      </c>
      <c r="G24" s="8">
        <v>17.069455076000001</v>
      </c>
      <c r="H24" s="8">
        <v>20988.837586551999</v>
      </c>
      <c r="I24" s="8">
        <v>32207.930094173</v>
      </c>
      <c r="J24" s="8">
        <v>6919.1801987830004</v>
      </c>
      <c r="K24" s="8">
        <v>10617.666234845001</v>
      </c>
      <c r="L24" s="8">
        <v>10617.666234845001</v>
      </c>
      <c r="M24" s="8">
        <v>23.431301883</v>
      </c>
      <c r="N24" s="8">
        <v>26.243713284999998</v>
      </c>
    </row>
    <row r="25" spans="3:14" x14ac:dyDescent="0.25">
      <c r="C25" s="8">
        <v>3</v>
      </c>
      <c r="D25" s="8" t="s">
        <v>14</v>
      </c>
      <c r="E25" s="8">
        <v>2018</v>
      </c>
      <c r="F25" s="8">
        <v>17.756989264000001</v>
      </c>
      <c r="G25" s="8">
        <v>17.839231397999999</v>
      </c>
      <c r="H25" s="8">
        <v>22155.679699242999</v>
      </c>
      <c r="I25" s="8">
        <v>34575.843446952997</v>
      </c>
      <c r="J25" s="8">
        <v>7422.1526992460003</v>
      </c>
      <c r="K25" s="8">
        <v>11582.907554728999</v>
      </c>
      <c r="L25" s="8">
        <v>11582.907554728999</v>
      </c>
      <c r="M25" s="8">
        <v>7.2692499110000002</v>
      </c>
      <c r="N25" s="8">
        <v>9.0908990589999998</v>
      </c>
    </row>
    <row r="26" spans="3:14" x14ac:dyDescent="0.25">
      <c r="C26" s="8">
        <v>3</v>
      </c>
      <c r="D26" s="8" t="s">
        <v>14</v>
      </c>
      <c r="E26" s="8">
        <v>2019</v>
      </c>
      <c r="F26" s="8">
        <v>17.712421850999998</v>
      </c>
      <c r="G26" s="8">
        <v>17.807669778000001</v>
      </c>
      <c r="H26" s="8">
        <v>22402.360525096999</v>
      </c>
      <c r="I26" s="8">
        <v>35049.718622492997</v>
      </c>
      <c r="J26" s="8">
        <v>7624.1281504250001</v>
      </c>
      <c r="K26" s="8">
        <v>11928.365589637</v>
      </c>
      <c r="L26" s="8">
        <v>11928.365589637</v>
      </c>
      <c r="M26" s="8">
        <v>2.7212516280000001</v>
      </c>
      <c r="N26" s="8">
        <v>2.9824811539999998</v>
      </c>
    </row>
    <row r="27" spans="3:14" x14ac:dyDescent="0.25">
      <c r="C27" s="8">
        <v>3</v>
      </c>
      <c r="D27" s="8" t="s">
        <v>14</v>
      </c>
      <c r="E27" s="8">
        <v>2020</v>
      </c>
      <c r="F27" s="8">
        <v>16.929334319999999</v>
      </c>
      <c r="G27" s="8">
        <v>17.193679643999999</v>
      </c>
      <c r="H27" s="8">
        <v>17297.261716650999</v>
      </c>
      <c r="I27" s="8">
        <v>26847.097277433</v>
      </c>
      <c r="J27" s="8">
        <v>5979.4039165209997</v>
      </c>
      <c r="K27" s="8">
        <v>9280.6388223489994</v>
      </c>
      <c r="L27" s="8">
        <v>9280.6388223489994</v>
      </c>
      <c r="M27" s="8">
        <v>-21.572620521000001</v>
      </c>
      <c r="N27" s="8">
        <v>-22.19689485</v>
      </c>
    </row>
    <row r="28" spans="3:14" x14ac:dyDescent="0.25">
      <c r="C28" s="8">
        <v>4</v>
      </c>
      <c r="D28" s="8" t="s">
        <v>15</v>
      </c>
      <c r="E28" s="8">
        <v>2014</v>
      </c>
      <c r="F28" s="8">
        <v>5.4168408760000002</v>
      </c>
      <c r="G28" s="8">
        <v>4.9931563140000002</v>
      </c>
      <c r="H28" s="8">
        <v>2906.4820579799998</v>
      </c>
      <c r="I28" s="8">
        <v>3887.5416994550001</v>
      </c>
      <c r="J28" s="8">
        <v>1863.6101372380001</v>
      </c>
      <c r="K28" s="8">
        <v>2492.6567498149998</v>
      </c>
      <c r="L28" s="8">
        <v>2492.6567498149998</v>
      </c>
      <c r="M28" s="8">
        <v>3.2096888190000001</v>
      </c>
      <c r="N28" s="8">
        <v>4.9192961310000003</v>
      </c>
    </row>
    <row r="29" spans="3:14" x14ac:dyDescent="0.25">
      <c r="C29" s="8">
        <v>4</v>
      </c>
      <c r="D29" s="8" t="s">
        <v>15</v>
      </c>
      <c r="E29" s="8">
        <v>2015</v>
      </c>
      <c r="F29" s="8">
        <v>5.7011622370000001</v>
      </c>
      <c r="G29" s="8">
        <v>5.2186007339999998</v>
      </c>
      <c r="H29" s="8">
        <v>3194.4201686649999</v>
      </c>
      <c r="I29" s="8">
        <v>4348.0538974589999</v>
      </c>
      <c r="J29" s="8">
        <v>2073.87187864</v>
      </c>
      <c r="K29" s="8">
        <v>2822.8305071459999</v>
      </c>
      <c r="L29" s="8">
        <v>2822.8305071459999</v>
      </c>
      <c r="M29" s="8">
        <v>11.282496118999999</v>
      </c>
      <c r="N29" s="8">
        <v>13.245857351</v>
      </c>
    </row>
    <row r="30" spans="3:14" x14ac:dyDescent="0.25">
      <c r="C30" s="8">
        <v>4</v>
      </c>
      <c r="D30" s="8" t="s">
        <v>15</v>
      </c>
      <c r="E30" s="8">
        <v>2016</v>
      </c>
      <c r="F30" s="8">
        <v>5.680873364</v>
      </c>
      <c r="G30" s="8">
        <v>5.3189701679999999</v>
      </c>
      <c r="H30" s="8">
        <v>3299.799445135</v>
      </c>
      <c r="I30" s="8">
        <v>4686.2056934169996</v>
      </c>
      <c r="J30" s="8">
        <v>2168.8525817049999</v>
      </c>
      <c r="K30" s="8">
        <v>3080.0930437010002</v>
      </c>
      <c r="L30" s="8">
        <v>3080.0930437010002</v>
      </c>
      <c r="M30" s="8">
        <v>4.5798732329999998</v>
      </c>
      <c r="N30" s="8">
        <v>9.1136373899999992</v>
      </c>
    </row>
    <row r="31" spans="3:14" x14ac:dyDescent="0.25">
      <c r="C31" s="8">
        <v>4</v>
      </c>
      <c r="D31" s="8" t="s">
        <v>15</v>
      </c>
      <c r="E31" s="8">
        <v>2017</v>
      </c>
      <c r="F31" s="8">
        <v>5.5829493230000002</v>
      </c>
      <c r="G31" s="8">
        <v>5.2138382459999999</v>
      </c>
      <c r="H31" s="8">
        <v>3382.891239046</v>
      </c>
      <c r="I31" s="8">
        <v>4874.7027313110002</v>
      </c>
      <c r="J31" s="8">
        <v>2250.6443071200001</v>
      </c>
      <c r="K31" s="8">
        <v>3243.1494765470002</v>
      </c>
      <c r="L31" s="8">
        <v>3243.1494765470002</v>
      </c>
      <c r="M31" s="8">
        <v>3.7711980110000001</v>
      </c>
      <c r="N31" s="8">
        <v>5.2938801050000004</v>
      </c>
    </row>
    <row r="32" spans="3:14" x14ac:dyDescent="0.25">
      <c r="C32" s="8">
        <v>4</v>
      </c>
      <c r="D32" s="8" t="s">
        <v>15</v>
      </c>
      <c r="E32" s="8">
        <v>2018</v>
      </c>
      <c r="F32" s="8">
        <v>5.6399486349999997</v>
      </c>
      <c r="G32" s="8">
        <v>5.2528935289999996</v>
      </c>
      <c r="H32" s="8">
        <v>3500.9335910499999</v>
      </c>
      <c r="I32" s="8">
        <v>5065.1022918360004</v>
      </c>
      <c r="J32" s="8">
        <v>2357.4131494049998</v>
      </c>
      <c r="K32" s="8">
        <v>3410.6727349470002</v>
      </c>
      <c r="L32" s="8">
        <v>3410.6727349470002</v>
      </c>
      <c r="M32" s="8">
        <v>4.7439234160000003</v>
      </c>
      <c r="N32" s="8">
        <v>5.165449808</v>
      </c>
    </row>
    <row r="33" spans="3:14" x14ac:dyDescent="0.25">
      <c r="C33" s="8">
        <v>4</v>
      </c>
      <c r="D33" s="8" t="s">
        <v>15</v>
      </c>
      <c r="E33" s="8">
        <v>2019</v>
      </c>
      <c r="F33" s="8">
        <v>5.6490296180000001</v>
      </c>
      <c r="G33" s="8">
        <v>5.2623035659999999</v>
      </c>
      <c r="H33" s="8">
        <v>3568.7056856150002</v>
      </c>
      <c r="I33" s="8">
        <v>5173.3800716409996</v>
      </c>
      <c r="J33" s="8">
        <v>2431.566168539</v>
      </c>
      <c r="K33" s="8">
        <v>3524.9238988530001</v>
      </c>
      <c r="L33" s="8">
        <v>3524.9238988530001</v>
      </c>
      <c r="M33" s="8">
        <v>3.1455249649999999</v>
      </c>
      <c r="N33" s="8">
        <v>3.349813154</v>
      </c>
    </row>
    <row r="34" spans="3:14" x14ac:dyDescent="0.25">
      <c r="C34" s="8">
        <v>4</v>
      </c>
      <c r="D34" s="8" t="s">
        <v>15</v>
      </c>
      <c r="E34" s="8">
        <v>2020</v>
      </c>
      <c r="F34" s="8">
        <v>6.3180944490000002</v>
      </c>
      <c r="G34" s="8">
        <v>5.9861324060000003</v>
      </c>
      <c r="H34" s="8">
        <v>3237.1096763710002</v>
      </c>
      <c r="I34" s="8">
        <v>4687.1478125109998</v>
      </c>
      <c r="J34" s="8">
        <v>2231.5371636129998</v>
      </c>
      <c r="K34" s="8">
        <v>3231.13690318</v>
      </c>
      <c r="L34" s="8">
        <v>3231.13690318</v>
      </c>
      <c r="M34" s="8">
        <v>-8.2263443009999992</v>
      </c>
      <c r="N34" s="8">
        <v>-8.3345627909999997</v>
      </c>
    </row>
    <row r="35" spans="3:14" x14ac:dyDescent="0.25">
      <c r="C35" s="8">
        <v>5</v>
      </c>
      <c r="D35" s="8" t="s">
        <v>16</v>
      </c>
      <c r="E35" s="8">
        <v>2014</v>
      </c>
      <c r="F35" s="8">
        <v>0.28056894700000001</v>
      </c>
      <c r="G35" s="8">
        <v>0.33542117900000001</v>
      </c>
      <c r="H35" s="8">
        <v>1478.818976021</v>
      </c>
      <c r="I35" s="8">
        <v>2565.3358112649998</v>
      </c>
      <c r="J35" s="8">
        <v>96.526951022000006</v>
      </c>
      <c r="K35" s="8">
        <v>167.44716440900001</v>
      </c>
      <c r="L35" s="8">
        <v>167.44716440900001</v>
      </c>
      <c r="M35" s="8">
        <v>-2.1090854870000002</v>
      </c>
      <c r="N35" s="8">
        <v>1.64380142</v>
      </c>
    </row>
    <row r="36" spans="3:14" x14ac:dyDescent="0.25">
      <c r="C36" s="8">
        <v>5</v>
      </c>
      <c r="D36" s="8" t="s">
        <v>16</v>
      </c>
      <c r="E36" s="8">
        <v>2015</v>
      </c>
      <c r="F36" s="8">
        <v>0.26224428399999999</v>
      </c>
      <c r="G36" s="8">
        <v>0.32058076499999999</v>
      </c>
      <c r="H36" s="8">
        <v>1441.640106675</v>
      </c>
      <c r="I36" s="8">
        <v>2620.5985381249998</v>
      </c>
      <c r="J36" s="8">
        <v>95.394767498999997</v>
      </c>
      <c r="K36" s="8">
        <v>173.40762586599999</v>
      </c>
      <c r="L36" s="8">
        <v>173.40762586599999</v>
      </c>
      <c r="M36" s="8">
        <v>-1.172919595</v>
      </c>
      <c r="N36" s="8">
        <v>3.559607282</v>
      </c>
    </row>
    <row r="37" spans="3:14" x14ac:dyDescent="0.25">
      <c r="C37" s="8">
        <v>5</v>
      </c>
      <c r="D37" s="8" t="s">
        <v>16</v>
      </c>
      <c r="E37" s="8">
        <v>2016</v>
      </c>
      <c r="F37" s="8">
        <v>0.26388583300000001</v>
      </c>
      <c r="G37" s="8">
        <v>0.32475137500000001</v>
      </c>
      <c r="H37" s="8">
        <v>1501.5312361220001</v>
      </c>
      <c r="I37" s="8">
        <v>2802.7905838400002</v>
      </c>
      <c r="J37" s="8">
        <v>100.746739819</v>
      </c>
      <c r="K37" s="8">
        <v>188.05603701300001</v>
      </c>
      <c r="L37" s="8">
        <v>188.05603701300001</v>
      </c>
      <c r="M37" s="8">
        <v>5.6103415950000004</v>
      </c>
      <c r="N37" s="8">
        <v>8.4473857900000002</v>
      </c>
    </row>
    <row r="38" spans="3:14" x14ac:dyDescent="0.25">
      <c r="C38" s="8">
        <v>5</v>
      </c>
      <c r="D38" s="8" t="s">
        <v>16</v>
      </c>
      <c r="E38" s="8">
        <v>2017</v>
      </c>
      <c r="F38" s="8">
        <v>0.26351048100000002</v>
      </c>
      <c r="G38" s="8">
        <v>0.32286636800000001</v>
      </c>
      <c r="H38" s="8">
        <v>1561.3343564520001</v>
      </c>
      <c r="I38" s="8">
        <v>2951.800924358</v>
      </c>
      <c r="J38" s="8">
        <v>106.22850561</v>
      </c>
      <c r="K38" s="8">
        <v>200.83167949099999</v>
      </c>
      <c r="L38" s="8">
        <v>200.83167949099999</v>
      </c>
      <c r="M38" s="8">
        <v>5.4411346719999996</v>
      </c>
      <c r="N38" s="8">
        <v>6.7935295670000002</v>
      </c>
    </row>
    <row r="39" spans="3:14" x14ac:dyDescent="0.25">
      <c r="C39" s="8">
        <v>5</v>
      </c>
      <c r="D39" s="8" t="s">
        <v>16</v>
      </c>
      <c r="E39" s="8">
        <v>2018</v>
      </c>
      <c r="F39" s="8">
        <v>0.25609838400000001</v>
      </c>
      <c r="G39" s="8">
        <v>0.30649527900000001</v>
      </c>
      <c r="H39" s="8">
        <v>1551.942694935</v>
      </c>
      <c r="I39" s="8">
        <v>2885.1841073639998</v>
      </c>
      <c r="J39" s="8">
        <v>107.045247383</v>
      </c>
      <c r="K39" s="8">
        <v>199.005573806</v>
      </c>
      <c r="L39" s="8">
        <v>199.005573806</v>
      </c>
      <c r="M39" s="8">
        <v>0.76885367900000001</v>
      </c>
      <c r="N39" s="8">
        <v>-0.90927172899999997</v>
      </c>
    </row>
    <row r="40" spans="3:14" x14ac:dyDescent="0.25">
      <c r="C40" s="8">
        <v>5</v>
      </c>
      <c r="D40" s="8" t="s">
        <v>16</v>
      </c>
      <c r="E40" s="8">
        <v>2019</v>
      </c>
      <c r="F40" s="8">
        <v>0.27035004800000001</v>
      </c>
      <c r="G40" s="8">
        <v>0.32442035899999999</v>
      </c>
      <c r="H40" s="8">
        <v>1664.4169054680001</v>
      </c>
      <c r="I40" s="8">
        <v>3108.1743662600002</v>
      </c>
      <c r="J40" s="8">
        <v>116.369372363</v>
      </c>
      <c r="K40" s="8">
        <v>217.311118991</v>
      </c>
      <c r="L40" s="8">
        <v>217.311118991</v>
      </c>
      <c r="M40" s="8">
        <v>8.7104520819999998</v>
      </c>
      <c r="N40" s="8">
        <v>9.1985087829999994</v>
      </c>
    </row>
    <row r="41" spans="3:14" x14ac:dyDescent="0.25">
      <c r="C41" s="8">
        <v>5</v>
      </c>
      <c r="D41" s="8" t="s">
        <v>16</v>
      </c>
      <c r="E41" s="8">
        <v>2020</v>
      </c>
      <c r="F41" s="8">
        <v>0.32005423500000002</v>
      </c>
      <c r="G41" s="8">
        <v>0.387142612</v>
      </c>
      <c r="H41" s="8">
        <v>1595.8784891390001</v>
      </c>
      <c r="I41" s="8">
        <v>2950.1102665240001</v>
      </c>
      <c r="J41" s="8">
        <v>113.0424569</v>
      </c>
      <c r="K41" s="8">
        <v>208.96811061899999</v>
      </c>
      <c r="L41" s="8">
        <v>208.96811061899999</v>
      </c>
      <c r="M41" s="8">
        <v>-2.8589270490000001</v>
      </c>
      <c r="N41" s="8">
        <v>-3.8391999499999998</v>
      </c>
    </row>
    <row r="42" spans="3:14" x14ac:dyDescent="0.25">
      <c r="C42" s="8">
        <v>6</v>
      </c>
      <c r="D42" s="8" t="s">
        <v>17</v>
      </c>
      <c r="E42" s="8">
        <v>2014</v>
      </c>
      <c r="F42" s="8">
        <v>1.4861915459999999</v>
      </c>
      <c r="G42" s="8">
        <v>1.463849167</v>
      </c>
      <c r="H42" s="8">
        <v>4339.5294345040002</v>
      </c>
      <c r="I42" s="8">
        <v>6202.15351594</v>
      </c>
      <c r="J42" s="8">
        <v>511.30939515</v>
      </c>
      <c r="K42" s="8">
        <v>730.77494016900005</v>
      </c>
      <c r="L42" s="8">
        <v>730.77494016900005</v>
      </c>
      <c r="M42" s="8">
        <v>15.690497648999999</v>
      </c>
      <c r="N42" s="8">
        <v>19.643101901000001</v>
      </c>
    </row>
    <row r="43" spans="3:14" x14ac:dyDescent="0.25">
      <c r="C43" s="8">
        <v>6</v>
      </c>
      <c r="D43" s="8" t="s">
        <v>17</v>
      </c>
      <c r="E43" s="8">
        <v>2015</v>
      </c>
      <c r="F43" s="8">
        <v>1.3549750890000001</v>
      </c>
      <c r="G43" s="8">
        <v>1.3192967529999999</v>
      </c>
      <c r="H43" s="8">
        <v>4173.8487864930003</v>
      </c>
      <c r="I43" s="8">
        <v>6043.1044695139999</v>
      </c>
      <c r="J43" s="8">
        <v>492.88980319699999</v>
      </c>
      <c r="K43" s="8">
        <v>713.63020680499994</v>
      </c>
      <c r="L43" s="8">
        <v>713.63020680499994</v>
      </c>
      <c r="M43" s="8">
        <v>-3.6024356540000002</v>
      </c>
      <c r="N43" s="8">
        <v>-2.3461030780000001</v>
      </c>
    </row>
    <row r="44" spans="3:14" x14ac:dyDescent="0.25">
      <c r="C44" s="8">
        <v>6</v>
      </c>
      <c r="D44" s="8" t="s">
        <v>17</v>
      </c>
      <c r="E44" s="8">
        <v>2016</v>
      </c>
      <c r="F44" s="8">
        <v>1.3398738830000001</v>
      </c>
      <c r="G44" s="8">
        <v>1.2517730979999999</v>
      </c>
      <c r="H44" s="8">
        <v>4322.8414039979998</v>
      </c>
      <c r="I44" s="8">
        <v>6125.6524165729998</v>
      </c>
      <c r="J44" s="8">
        <v>511.53911470100002</v>
      </c>
      <c r="K44" s="8">
        <v>724.87295306299995</v>
      </c>
      <c r="L44" s="8">
        <v>724.87295306299995</v>
      </c>
      <c r="M44" s="8">
        <v>3.7836675419999999</v>
      </c>
      <c r="N44" s="8">
        <v>1.5754302650000001</v>
      </c>
    </row>
    <row r="45" spans="3:14" x14ac:dyDescent="0.25">
      <c r="C45" s="8">
        <v>6</v>
      </c>
      <c r="D45" s="8" t="s">
        <v>17</v>
      </c>
      <c r="E45" s="8">
        <v>2017</v>
      </c>
      <c r="F45" s="8">
        <v>1.33065236</v>
      </c>
      <c r="G45" s="8">
        <v>1.235708185</v>
      </c>
      <c r="H45" s="8">
        <v>4524.8331082280001</v>
      </c>
      <c r="I45" s="8">
        <v>6483.6582280700004</v>
      </c>
      <c r="J45" s="8">
        <v>536.42348981400005</v>
      </c>
      <c r="K45" s="8">
        <v>768.64416659599999</v>
      </c>
      <c r="L45" s="8">
        <v>768.64416659599999</v>
      </c>
      <c r="M45" s="8">
        <v>4.8646084719999996</v>
      </c>
      <c r="N45" s="8">
        <v>6.038466927</v>
      </c>
    </row>
    <row r="46" spans="3:14" x14ac:dyDescent="0.25">
      <c r="C46" s="8">
        <v>6</v>
      </c>
      <c r="D46" s="8" t="s">
        <v>17</v>
      </c>
      <c r="E46" s="8">
        <v>2018</v>
      </c>
      <c r="F46" s="8">
        <v>1.335250842</v>
      </c>
      <c r="G46" s="8">
        <v>1.2120701970000001</v>
      </c>
      <c r="H46" s="8">
        <v>4700.4669032339998</v>
      </c>
      <c r="I46" s="8">
        <v>6628.0657752979996</v>
      </c>
      <c r="J46" s="8">
        <v>558.11463822200005</v>
      </c>
      <c r="K46" s="8">
        <v>786.99001789600004</v>
      </c>
      <c r="L46" s="8">
        <v>786.99001789600004</v>
      </c>
      <c r="M46" s="8">
        <v>4.0436611779999998</v>
      </c>
      <c r="N46" s="8">
        <v>2.3867807879999998</v>
      </c>
    </row>
    <row r="47" spans="3:14" x14ac:dyDescent="0.25">
      <c r="C47" s="8">
        <v>6</v>
      </c>
      <c r="D47" s="8" t="s">
        <v>17</v>
      </c>
      <c r="E47" s="8">
        <v>2019</v>
      </c>
      <c r="F47" s="8">
        <v>1.3409739700000001</v>
      </c>
      <c r="G47" s="8">
        <v>1.216715685</v>
      </c>
      <c r="H47" s="8">
        <v>4855.9990560329998</v>
      </c>
      <c r="I47" s="8">
        <v>6856.6022958000003</v>
      </c>
      <c r="J47" s="8">
        <v>577.20832779499995</v>
      </c>
      <c r="K47" s="8">
        <v>815.01003189000005</v>
      </c>
      <c r="L47" s="8">
        <v>815.01003189000005</v>
      </c>
      <c r="M47" s="8">
        <v>3.421105319</v>
      </c>
      <c r="N47" s="8">
        <v>3.5604027189999998</v>
      </c>
    </row>
    <row r="48" spans="3:14" x14ac:dyDescent="0.25">
      <c r="C48" s="8">
        <v>6</v>
      </c>
      <c r="D48" s="8" t="s">
        <v>17</v>
      </c>
      <c r="E48" s="8">
        <v>2020</v>
      </c>
      <c r="F48" s="8">
        <v>1.504893053</v>
      </c>
      <c r="G48" s="8">
        <v>1.3744496310000001</v>
      </c>
      <c r="H48" s="8">
        <v>4467.2718603849999</v>
      </c>
      <c r="I48" s="8">
        <v>6235.289252695</v>
      </c>
      <c r="J48" s="8">
        <v>531.52494049200004</v>
      </c>
      <c r="K48" s="8">
        <v>741.887185864</v>
      </c>
      <c r="L48" s="8">
        <v>741.887185864</v>
      </c>
      <c r="M48" s="8">
        <v>-7.9145405750000002</v>
      </c>
      <c r="N48" s="8">
        <v>-8.9720179099999999</v>
      </c>
    </row>
    <row r="49" spans="3:14" x14ac:dyDescent="0.25">
      <c r="C49" s="8">
        <v>7</v>
      </c>
      <c r="D49" s="8" t="s">
        <v>18</v>
      </c>
      <c r="E49" s="8">
        <v>2014</v>
      </c>
      <c r="F49" s="8">
        <v>1.0460757169999999</v>
      </c>
      <c r="G49" s="8">
        <v>1.0187058769999999</v>
      </c>
      <c r="H49" s="8">
        <v>3788.9742366370001</v>
      </c>
      <c r="I49" s="8">
        <v>5354.0900742570002</v>
      </c>
      <c r="J49" s="8">
        <v>359.891928893</v>
      </c>
      <c r="K49" s="8">
        <v>508.55289161299999</v>
      </c>
      <c r="L49" s="8">
        <v>508.55289161299999</v>
      </c>
      <c r="M49" s="8">
        <v>7.981994491</v>
      </c>
      <c r="N49" s="8">
        <v>10.868189868</v>
      </c>
    </row>
    <row r="50" spans="3:14" x14ac:dyDescent="0.25">
      <c r="C50" s="8">
        <v>7</v>
      </c>
      <c r="D50" s="8" t="s">
        <v>18</v>
      </c>
      <c r="E50" s="8">
        <v>2015</v>
      </c>
      <c r="F50" s="8">
        <v>0.99611886599999999</v>
      </c>
      <c r="G50" s="8">
        <v>0.98027227500000003</v>
      </c>
      <c r="H50" s="8">
        <v>3808.2100571149999</v>
      </c>
      <c r="I50" s="8">
        <v>5572.7384246969996</v>
      </c>
      <c r="J50" s="8">
        <v>362.351186934</v>
      </c>
      <c r="K50" s="8">
        <v>530.24606111000003</v>
      </c>
      <c r="L50" s="8">
        <v>530.24606111000003</v>
      </c>
      <c r="M50" s="8">
        <v>0.68333236900000005</v>
      </c>
      <c r="N50" s="8">
        <v>4.2656663359999998</v>
      </c>
    </row>
    <row r="51" spans="3:14" x14ac:dyDescent="0.25">
      <c r="C51" s="8">
        <v>7</v>
      </c>
      <c r="D51" s="8" t="s">
        <v>18</v>
      </c>
      <c r="E51" s="8">
        <v>2016</v>
      </c>
      <c r="F51" s="8">
        <v>0.98396567599999996</v>
      </c>
      <c r="G51" s="8">
        <v>1.024030818</v>
      </c>
      <c r="H51" s="8">
        <v>3942.2393649740002</v>
      </c>
      <c r="I51" s="8">
        <v>6222.9659351549999</v>
      </c>
      <c r="J51" s="8">
        <v>375.65993132800003</v>
      </c>
      <c r="K51" s="8">
        <v>592.99264692700001</v>
      </c>
      <c r="L51" s="8">
        <v>592.99264692700001</v>
      </c>
      <c r="M51" s="8">
        <v>3.6728855519999999</v>
      </c>
      <c r="N51" s="8">
        <v>11.833484568999999</v>
      </c>
    </row>
    <row r="52" spans="3:14" x14ac:dyDescent="0.25">
      <c r="C52" s="8">
        <v>7</v>
      </c>
      <c r="D52" s="8" t="s">
        <v>18</v>
      </c>
      <c r="E52" s="8">
        <v>2017</v>
      </c>
      <c r="F52" s="8">
        <v>0.99258189500000005</v>
      </c>
      <c r="G52" s="8">
        <v>1.020583104</v>
      </c>
      <c r="H52" s="8">
        <v>4194.272091326</v>
      </c>
      <c r="I52" s="8">
        <v>6654.338040091</v>
      </c>
      <c r="J52" s="8">
        <v>400.13775178499998</v>
      </c>
      <c r="K52" s="8">
        <v>634.83050336300005</v>
      </c>
      <c r="L52" s="8">
        <v>634.83050336300005</v>
      </c>
      <c r="M52" s="8">
        <v>6.5159519059999997</v>
      </c>
      <c r="N52" s="8">
        <v>7.0553752479999998</v>
      </c>
    </row>
    <row r="53" spans="3:14" x14ac:dyDescent="0.25">
      <c r="C53" s="8">
        <v>7</v>
      </c>
      <c r="D53" s="8" t="s">
        <v>18</v>
      </c>
      <c r="E53" s="8">
        <v>2018</v>
      </c>
      <c r="F53" s="8">
        <v>0.99632630600000005</v>
      </c>
      <c r="G53" s="8">
        <v>1.009909041</v>
      </c>
      <c r="H53" s="8">
        <v>4361.4108303479998</v>
      </c>
      <c r="I53" s="8">
        <v>6867.3401462000002</v>
      </c>
      <c r="J53" s="8">
        <v>416.449313136</v>
      </c>
      <c r="K53" s="8">
        <v>655.72797386000002</v>
      </c>
      <c r="L53" s="8">
        <v>655.72797386000002</v>
      </c>
      <c r="M53" s="8">
        <v>4.0764864799999998</v>
      </c>
      <c r="N53" s="8">
        <v>3.2918189010000001</v>
      </c>
    </row>
    <row r="54" spans="3:14" x14ac:dyDescent="0.25">
      <c r="C54" s="8">
        <v>7</v>
      </c>
      <c r="D54" s="8" t="s">
        <v>18</v>
      </c>
      <c r="E54" s="8">
        <v>2019</v>
      </c>
      <c r="F54" s="8">
        <v>1.0001221659999999</v>
      </c>
      <c r="G54" s="8">
        <v>1.0172536919999999</v>
      </c>
      <c r="H54" s="8">
        <v>4505.8845115309996</v>
      </c>
      <c r="I54" s="8">
        <v>7132.1075800799999</v>
      </c>
      <c r="J54" s="8">
        <v>430.492206232</v>
      </c>
      <c r="K54" s="8">
        <v>681.40155820099994</v>
      </c>
      <c r="L54" s="8">
        <v>681.40155820099994</v>
      </c>
      <c r="M54" s="8">
        <v>3.3720533700000002</v>
      </c>
      <c r="N54" s="8">
        <v>3.915279714</v>
      </c>
    </row>
    <row r="55" spans="3:14" x14ac:dyDescent="0.25">
      <c r="C55" s="8">
        <v>7</v>
      </c>
      <c r="D55" s="8" t="s">
        <v>18</v>
      </c>
      <c r="E55" s="8">
        <v>2020</v>
      </c>
      <c r="F55" s="8">
        <v>1.0928566850000001</v>
      </c>
      <c r="G55" s="8">
        <v>1.128027031</v>
      </c>
      <c r="H55" s="8">
        <v>4039.4172587889998</v>
      </c>
      <c r="I55" s="8">
        <v>6371.8572971350004</v>
      </c>
      <c r="J55" s="8">
        <v>385.99459499800003</v>
      </c>
      <c r="K55" s="8">
        <v>608.87556774200004</v>
      </c>
      <c r="L55" s="8">
        <v>608.87556774200004</v>
      </c>
      <c r="M55" s="8">
        <v>-10.336449903</v>
      </c>
      <c r="N55" s="8">
        <v>-10.643649047</v>
      </c>
    </row>
    <row r="56" spans="3:14" x14ac:dyDescent="0.25">
      <c r="C56" s="8">
        <v>8</v>
      </c>
      <c r="D56" s="8" t="s">
        <v>19</v>
      </c>
      <c r="E56" s="8">
        <v>2014</v>
      </c>
      <c r="F56" s="8">
        <v>70.156345216999995</v>
      </c>
      <c r="G56" s="8">
        <v>70.451758214999998</v>
      </c>
      <c r="H56" s="8">
        <v>16199.870214889999</v>
      </c>
      <c r="I56" s="8">
        <v>23605.583752410999</v>
      </c>
      <c r="J56" s="8">
        <v>24136.591629921</v>
      </c>
      <c r="K56" s="8">
        <v>35170.549372310998</v>
      </c>
      <c r="L56" s="8">
        <v>35170.549372310998</v>
      </c>
      <c r="M56" s="8">
        <v>6.3749548149999997</v>
      </c>
      <c r="N56" s="8">
        <v>11.3</v>
      </c>
    </row>
    <row r="57" spans="3:14" x14ac:dyDescent="0.25">
      <c r="C57" s="8">
        <v>8</v>
      </c>
      <c r="D57" s="8" t="s">
        <v>19</v>
      </c>
      <c r="E57" s="8">
        <v>2015</v>
      </c>
      <c r="F57" s="8">
        <v>67.194852815999994</v>
      </c>
      <c r="G57" s="8">
        <v>67.300728116000002</v>
      </c>
      <c r="H57" s="8">
        <v>16114.954110314</v>
      </c>
      <c r="I57" s="8">
        <v>24000.762388268002</v>
      </c>
      <c r="J57" s="8">
        <v>24443.001244984</v>
      </c>
      <c r="K57" s="8">
        <v>36404.116382900997</v>
      </c>
      <c r="L57" s="8">
        <v>36404.116382900997</v>
      </c>
      <c r="M57" s="8">
        <v>1.269481705</v>
      </c>
      <c r="N57" s="8">
        <v>3.5073862440000001</v>
      </c>
    </row>
    <row r="58" spans="3:14" x14ac:dyDescent="0.25">
      <c r="C58" s="8">
        <v>8</v>
      </c>
      <c r="D58" s="8" t="s">
        <v>19</v>
      </c>
      <c r="E58" s="8">
        <v>2016</v>
      </c>
      <c r="F58" s="8">
        <v>65.085965324</v>
      </c>
      <c r="G58" s="8">
        <v>64.723442978999998</v>
      </c>
      <c r="H58" s="8">
        <v>16091.737762999999</v>
      </c>
      <c r="I58" s="8">
        <v>24271.608789398</v>
      </c>
      <c r="J58" s="8">
        <v>24848.620077558</v>
      </c>
      <c r="K58" s="8">
        <v>37479.854218455999</v>
      </c>
      <c r="L58" s="8">
        <v>37479.854218455999</v>
      </c>
      <c r="M58" s="8">
        <v>1.6594477430000001</v>
      </c>
      <c r="N58" s="8">
        <v>2.9549895519999998</v>
      </c>
    </row>
    <row r="59" spans="3:14" x14ac:dyDescent="0.25">
      <c r="C59" s="8">
        <v>8</v>
      </c>
      <c r="D59" s="8" t="s">
        <v>19</v>
      </c>
      <c r="E59" s="8">
        <v>2017</v>
      </c>
      <c r="F59" s="8">
        <v>63.27253391</v>
      </c>
      <c r="G59" s="8">
        <v>62.927382277</v>
      </c>
      <c r="H59" s="8">
        <v>16227.751864046</v>
      </c>
      <c r="I59" s="8">
        <v>24902.848738892</v>
      </c>
      <c r="J59" s="8">
        <v>25506.942657426</v>
      </c>
      <c r="K59" s="8">
        <v>39142.546676277998</v>
      </c>
      <c r="L59" s="8">
        <v>39142.546676277998</v>
      </c>
      <c r="M59" s="8">
        <v>2.64933255</v>
      </c>
      <c r="N59" s="8">
        <v>4.4362297890000004</v>
      </c>
    </row>
    <row r="60" spans="3:14" x14ac:dyDescent="0.25">
      <c r="C60" s="8">
        <v>8</v>
      </c>
      <c r="D60" s="8" t="s">
        <v>19</v>
      </c>
      <c r="E60" s="8">
        <v>2018</v>
      </c>
      <c r="F60" s="8">
        <v>62.854941105000002</v>
      </c>
      <c r="G60" s="8">
        <v>62.492453961000002</v>
      </c>
      <c r="H60" s="8">
        <v>16427.959266034999</v>
      </c>
      <c r="I60" s="8">
        <v>25371.881293687999</v>
      </c>
      <c r="J60" s="8">
        <v>26272.413856207</v>
      </c>
      <c r="K60" s="8">
        <v>40575.981158930997</v>
      </c>
      <c r="L60" s="8">
        <v>40575.981158930997</v>
      </c>
      <c r="M60" s="8">
        <v>3.0010307749999998</v>
      </c>
      <c r="N60" s="8">
        <v>3.662087944</v>
      </c>
    </row>
    <row r="61" spans="3:14" x14ac:dyDescent="0.25">
      <c r="C61" s="8">
        <v>8</v>
      </c>
      <c r="D61" s="8" t="s">
        <v>19</v>
      </c>
      <c r="E61" s="8">
        <v>2019</v>
      </c>
      <c r="F61" s="8">
        <v>62.391265601999997</v>
      </c>
      <c r="G61" s="8">
        <v>62.127070392</v>
      </c>
      <c r="H61" s="8">
        <v>16512.605788042001</v>
      </c>
      <c r="I61" s="8">
        <v>25587.879668220001</v>
      </c>
      <c r="J61" s="8">
        <v>26855.672725920998</v>
      </c>
      <c r="K61" s="8">
        <v>41615.462207522003</v>
      </c>
      <c r="L61" s="8">
        <v>41615.462207522003</v>
      </c>
      <c r="M61" s="8">
        <v>2.2200429430000002</v>
      </c>
      <c r="N61" s="8">
        <v>2.5618137110000001</v>
      </c>
    </row>
    <row r="62" spans="3:14" x14ac:dyDescent="0.25">
      <c r="C62" s="8">
        <v>8</v>
      </c>
      <c r="D62" s="8" t="s">
        <v>19</v>
      </c>
      <c r="E62" s="8">
        <v>2020</v>
      </c>
      <c r="F62" s="8">
        <v>59.705984057000002</v>
      </c>
      <c r="G62" s="8">
        <v>60.344843908999998</v>
      </c>
      <c r="H62" s="8">
        <v>12731.707217341</v>
      </c>
      <c r="I62" s="8">
        <v>19665.273064009001</v>
      </c>
      <c r="J62" s="8">
        <v>21088.023200664</v>
      </c>
      <c r="K62" s="8">
        <v>32572.358721567001</v>
      </c>
      <c r="L62" s="8">
        <v>32572.358721567001</v>
      </c>
      <c r="M62" s="8">
        <v>-21.476466383999998</v>
      </c>
      <c r="N62" s="8">
        <v>-21.730152703000002</v>
      </c>
    </row>
    <row r="63" spans="3:14" x14ac:dyDescent="0.25">
      <c r="C63" s="8">
        <v>9</v>
      </c>
      <c r="D63" s="8" t="s">
        <v>20</v>
      </c>
      <c r="E63" s="8">
        <v>2014</v>
      </c>
      <c r="F63" s="8">
        <v>2.111824119</v>
      </c>
      <c r="G63" s="8">
        <v>2.2181604660000001</v>
      </c>
      <c r="H63" s="8">
        <v>2983.8969361019999</v>
      </c>
      <c r="I63" s="8">
        <v>4547.7581788179996</v>
      </c>
      <c r="J63" s="8">
        <v>726.55204886800004</v>
      </c>
      <c r="K63" s="8">
        <v>1107.3381867190001</v>
      </c>
      <c r="L63" s="8">
        <v>1107.3381867190001</v>
      </c>
      <c r="M63" s="8">
        <v>-6.5862923990000004</v>
      </c>
      <c r="N63" s="8">
        <v>-2.4527823120000001</v>
      </c>
    </row>
    <row r="64" spans="3:14" x14ac:dyDescent="0.25">
      <c r="C64" s="8">
        <v>9</v>
      </c>
      <c r="D64" s="8" t="s">
        <v>20</v>
      </c>
      <c r="E64" s="8">
        <v>2015</v>
      </c>
      <c r="F64" s="8">
        <v>2.1042548860000001</v>
      </c>
      <c r="G64" s="8">
        <v>2.1987387790000001</v>
      </c>
      <c r="H64" s="8">
        <v>3131.7638851920001</v>
      </c>
      <c r="I64" s="8">
        <v>4866.0493820669999</v>
      </c>
      <c r="J64" s="8">
        <v>765.45006999899999</v>
      </c>
      <c r="K64" s="8">
        <v>1189.335459718</v>
      </c>
      <c r="L64" s="8">
        <v>1189.335459718</v>
      </c>
      <c r="M64" s="8">
        <v>5.3537831450000004</v>
      </c>
      <c r="N64" s="8">
        <v>7.4048988810000003</v>
      </c>
    </row>
    <row r="65" spans="3:14" x14ac:dyDescent="0.25">
      <c r="C65" s="8">
        <v>9</v>
      </c>
      <c r="D65" s="8" t="s">
        <v>20</v>
      </c>
      <c r="E65" s="8">
        <v>2016</v>
      </c>
      <c r="F65" s="8">
        <v>2.0818514810000002</v>
      </c>
      <c r="G65" s="8">
        <v>2.251543694</v>
      </c>
      <c r="H65" s="8">
        <v>3240.3763164960001</v>
      </c>
      <c r="I65" s="8">
        <v>5315.540616196</v>
      </c>
      <c r="J65" s="8">
        <v>794.81246441600001</v>
      </c>
      <c r="K65" s="8">
        <v>1303.817064503</v>
      </c>
      <c r="L65" s="8">
        <v>1303.817064503</v>
      </c>
      <c r="M65" s="8">
        <v>3.8359646920000001</v>
      </c>
      <c r="N65" s="8">
        <v>9.6256782600000008</v>
      </c>
    </row>
    <row r="66" spans="3:14" x14ac:dyDescent="0.25">
      <c r="C66" s="8">
        <v>9</v>
      </c>
      <c r="D66" s="8" t="s">
        <v>20</v>
      </c>
      <c r="E66" s="8">
        <v>2017</v>
      </c>
      <c r="F66" s="8">
        <v>2.0495852160000001</v>
      </c>
      <c r="G66" s="8">
        <v>2.2044926469999999</v>
      </c>
      <c r="H66" s="8">
        <v>3357.0706982010001</v>
      </c>
      <c r="I66" s="8">
        <v>5571.4648624789997</v>
      </c>
      <c r="J66" s="8">
        <v>826.24559731199997</v>
      </c>
      <c r="K66" s="8">
        <v>1371.254503418</v>
      </c>
      <c r="L66" s="8">
        <v>1371.254503418</v>
      </c>
      <c r="M66" s="8">
        <v>3.9547861040000001</v>
      </c>
      <c r="N66" s="8">
        <v>5.1723083509999999</v>
      </c>
    </row>
    <row r="67" spans="3:14" x14ac:dyDescent="0.25">
      <c r="C67" s="8">
        <v>9</v>
      </c>
      <c r="D67" s="8" t="s">
        <v>20</v>
      </c>
      <c r="E67" s="8">
        <v>2018</v>
      </c>
      <c r="F67" s="8">
        <v>2.054285358</v>
      </c>
      <c r="G67" s="8">
        <v>2.1724032709999999</v>
      </c>
      <c r="H67" s="8">
        <v>3477.7790958360001</v>
      </c>
      <c r="I67" s="8">
        <v>5712.978219783</v>
      </c>
      <c r="J67" s="8">
        <v>858.66018098300003</v>
      </c>
      <c r="K67" s="8">
        <v>1410.5286094860001</v>
      </c>
      <c r="L67" s="8">
        <v>1410.5286094860001</v>
      </c>
      <c r="M67" s="8">
        <v>3.923117264</v>
      </c>
      <c r="N67" s="8">
        <v>2.8641004259999998</v>
      </c>
    </row>
    <row r="68" spans="3:14" x14ac:dyDescent="0.25">
      <c r="C68" s="8">
        <v>9</v>
      </c>
      <c r="D68" s="8" t="s">
        <v>20</v>
      </c>
      <c r="E68" s="8">
        <v>2019</v>
      </c>
      <c r="F68" s="8">
        <v>2.127655936</v>
      </c>
      <c r="G68" s="8">
        <v>2.2521166670000001</v>
      </c>
      <c r="H68" s="8">
        <v>3698.161130939</v>
      </c>
      <c r="I68" s="8">
        <v>6091.6777647480003</v>
      </c>
      <c r="J68" s="8">
        <v>915.82741510999995</v>
      </c>
      <c r="K68" s="8">
        <v>1508.5674483729999</v>
      </c>
      <c r="L68" s="8">
        <v>1508.5674483729999</v>
      </c>
      <c r="M68" s="8">
        <v>6.6577250689999996</v>
      </c>
      <c r="N68" s="8">
        <v>6.9505033950000001</v>
      </c>
    </row>
    <row r="69" spans="3:14" x14ac:dyDescent="0.25">
      <c r="C69" s="8">
        <v>9</v>
      </c>
      <c r="D69" s="8" t="s">
        <v>20</v>
      </c>
      <c r="E69" s="8">
        <v>2020</v>
      </c>
      <c r="F69" s="8">
        <v>2.3778139770000002</v>
      </c>
      <c r="G69" s="8">
        <v>2.5439381980000002</v>
      </c>
      <c r="H69" s="8">
        <v>3382.0143153590002</v>
      </c>
      <c r="I69" s="8">
        <v>5529.6182926780002</v>
      </c>
      <c r="J69" s="8">
        <v>839.83870486199999</v>
      </c>
      <c r="K69" s="8">
        <v>1373.1424625290001</v>
      </c>
      <c r="L69" s="8">
        <v>1373.1424625290001</v>
      </c>
      <c r="M69" s="8">
        <v>-8.2972740270000003</v>
      </c>
      <c r="N69" s="8">
        <v>-8.9770587309999996</v>
      </c>
    </row>
    <row r="70" spans="3:14" x14ac:dyDescent="0.25">
      <c r="C70" s="8">
        <v>13</v>
      </c>
      <c r="D70" s="8" t="s">
        <v>21</v>
      </c>
      <c r="E70" s="8">
        <v>2014</v>
      </c>
      <c r="F70" s="8">
        <v>5.3226899960000003</v>
      </c>
      <c r="G70" s="8">
        <v>5.1262781239999997</v>
      </c>
      <c r="H70" s="8">
        <v>3390.944360732</v>
      </c>
      <c r="I70" s="8">
        <v>4738.8175272569997</v>
      </c>
      <c r="J70" s="8">
        <v>1831.218465015</v>
      </c>
      <c r="K70" s="8">
        <v>2559.11310688</v>
      </c>
      <c r="L70" s="8">
        <v>2559.11310688</v>
      </c>
      <c r="M70" s="8">
        <v>0</v>
      </c>
      <c r="N70" s="8">
        <v>0</v>
      </c>
    </row>
    <row r="71" spans="3:14" x14ac:dyDescent="0.25">
      <c r="C71" s="8">
        <v>13</v>
      </c>
      <c r="D71" s="8" t="s">
        <v>21</v>
      </c>
      <c r="E71" s="8">
        <v>2015</v>
      </c>
      <c r="F71" s="8">
        <v>6.9631323680000001</v>
      </c>
      <c r="G71" s="8">
        <v>6.7619040730000002</v>
      </c>
      <c r="H71" s="8">
        <v>4580.4925287830001</v>
      </c>
      <c r="I71" s="8">
        <v>6614.3739086409996</v>
      </c>
      <c r="J71" s="8">
        <v>2532.9299195519998</v>
      </c>
      <c r="K71" s="8">
        <v>3657.6297127480002</v>
      </c>
      <c r="L71" s="8">
        <v>3657.6297127480002</v>
      </c>
      <c r="M71" s="8">
        <v>38.319374119000003</v>
      </c>
      <c r="N71" s="8">
        <v>42.925676201000002</v>
      </c>
    </row>
    <row r="72" spans="3:14" x14ac:dyDescent="0.25">
      <c r="C72" s="8">
        <v>13</v>
      </c>
      <c r="D72" s="8" t="s">
        <v>21</v>
      </c>
      <c r="E72" s="8">
        <v>2016</v>
      </c>
      <c r="F72" s="8">
        <v>6.6664989099999996</v>
      </c>
      <c r="G72" s="8">
        <v>6.5434784749999997</v>
      </c>
      <c r="H72" s="8">
        <v>4505.4730310539999</v>
      </c>
      <c r="I72" s="8">
        <v>6707.6843280390003</v>
      </c>
      <c r="J72" s="8">
        <v>2545.1462207149998</v>
      </c>
      <c r="K72" s="8">
        <v>3789.1775845930001</v>
      </c>
      <c r="L72" s="8">
        <v>3789.1775845930001</v>
      </c>
      <c r="M72" s="8">
        <v>0.482299217</v>
      </c>
      <c r="N72" s="8">
        <v>3.5965333340000001</v>
      </c>
    </row>
    <row r="73" spans="3:14" x14ac:dyDescent="0.25">
      <c r="C73" s="8">
        <v>13</v>
      </c>
      <c r="D73" s="8" t="s">
        <v>21</v>
      </c>
      <c r="E73" s="8">
        <v>2017</v>
      </c>
      <c r="F73" s="8">
        <v>6.2011800360000002</v>
      </c>
      <c r="G73" s="8">
        <v>6.061903526</v>
      </c>
      <c r="H73" s="8">
        <v>4337.6281684249998</v>
      </c>
      <c r="I73" s="8">
        <v>6542.6431619699997</v>
      </c>
      <c r="J73" s="8">
        <v>2499.870541283</v>
      </c>
      <c r="K73" s="8">
        <v>3770.6691923929998</v>
      </c>
      <c r="L73" s="8">
        <v>3770.6691923929998</v>
      </c>
      <c r="M73" s="8">
        <v>-1.77890288</v>
      </c>
      <c r="N73" s="8">
        <v>-0.48845407200000002</v>
      </c>
    </row>
    <row r="74" spans="3:14" x14ac:dyDescent="0.25">
      <c r="C74" s="8">
        <v>13</v>
      </c>
      <c r="D74" s="8" t="s">
        <v>21</v>
      </c>
      <c r="E74" s="8">
        <v>2018</v>
      </c>
      <c r="F74" s="8">
        <v>5.863845564</v>
      </c>
      <c r="G74" s="8">
        <v>5.72796767</v>
      </c>
      <c r="H74" s="8">
        <v>4171.9339437369999</v>
      </c>
      <c r="I74" s="8">
        <v>6330.4758463369999</v>
      </c>
      <c r="J74" s="8">
        <v>2450.998676144</v>
      </c>
      <c r="K74" s="8">
        <v>3719.1355682950002</v>
      </c>
      <c r="L74" s="8">
        <v>3719.1355682950002</v>
      </c>
      <c r="M74" s="8">
        <v>-1.954975841</v>
      </c>
      <c r="N74" s="8">
        <v>-1.3666970359999999</v>
      </c>
    </row>
    <row r="75" spans="3:14" x14ac:dyDescent="0.25">
      <c r="C75" s="8">
        <v>13</v>
      </c>
      <c r="D75" s="8" t="s">
        <v>21</v>
      </c>
      <c r="E75" s="8">
        <v>2019</v>
      </c>
      <c r="F75" s="8">
        <v>6.2036014479999997</v>
      </c>
      <c r="G75" s="8">
        <v>6.0825157179999998</v>
      </c>
      <c r="H75" s="8">
        <v>4461.5094331689997</v>
      </c>
      <c r="I75" s="8">
        <v>6807.4235693840001</v>
      </c>
      <c r="J75" s="8">
        <v>2670.2758568839999</v>
      </c>
      <c r="K75" s="8">
        <v>4074.3383102060002</v>
      </c>
      <c r="L75" s="8">
        <v>4074.3383102060002</v>
      </c>
      <c r="M75" s="8">
        <v>8.9464422349999992</v>
      </c>
      <c r="N75" s="8">
        <v>9.5506801350000003</v>
      </c>
    </row>
    <row r="76" spans="3:14" x14ac:dyDescent="0.25">
      <c r="C76" s="8">
        <v>13</v>
      </c>
      <c r="D76" s="8" t="s">
        <v>21</v>
      </c>
      <c r="E76" s="8">
        <v>2020</v>
      </c>
      <c r="F76" s="8">
        <v>6.4625700439999996</v>
      </c>
      <c r="G76" s="8">
        <v>6.532777286</v>
      </c>
      <c r="H76" s="8">
        <v>3763.7653863199998</v>
      </c>
      <c r="I76" s="8">
        <v>5814.4168472049996</v>
      </c>
      <c r="J76" s="8">
        <v>2282.5656286570002</v>
      </c>
      <c r="K76" s="8">
        <v>3526.1996123220001</v>
      </c>
      <c r="L76" s="8">
        <v>3526.1996123220001</v>
      </c>
      <c r="M76" s="8">
        <v>-14.519482219</v>
      </c>
      <c r="N76" s="8">
        <v>-13.453440930999999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Valores_Datos completos_data</vt:lpstr>
      <vt:lpstr>Hoja1</vt:lpstr>
      <vt:lpstr>Datos transformados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Camarena</dc:creator>
  <cp:lastModifiedBy>oscar</cp:lastModifiedBy>
  <dcterms:created xsi:type="dcterms:W3CDTF">2023-05-09T22:12:06Z</dcterms:created>
  <dcterms:modified xsi:type="dcterms:W3CDTF">2023-07-26T03:51:12Z</dcterms:modified>
</cp:coreProperties>
</file>